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noco.net\nsbu_shared\GGRE_Apps\South\Petrel\licenses\PL782\user\peter b\AA Force Wells analysis\"/>
    </mc:Choice>
  </mc:AlternateContent>
  <xr:revisionPtr revIDLastSave="0" documentId="13_ncr:1_{B77BC456-1265-4764-8BA7-6C3DCD4B2159}" xr6:coauthVersionLast="45" xr6:coauthVersionMax="45" xr10:uidLastSave="{00000000-0000-0000-0000-000000000000}"/>
  <bookViews>
    <workbookView xWindow="-120" yWindow="-120" windowWidth="38640" windowHeight="21240" xr2:uid="{00000000-000D-0000-FFFF-FFFF00000000}"/>
  </bookViews>
  <sheets>
    <sheet name="Olawale_conf ALL wells" sheetId="14" r:id="rId1"/>
    <sheet name="Comparison" sheetId="9" r:id="rId2"/>
    <sheet name="DavidP_conf" sheetId="8" r:id="rId3"/>
    <sheet name="CampbellH_conf" sheetId="7" r:id="rId4"/>
    <sheet name="BohdanP_conf" sheetId="6" r:id="rId5"/>
    <sheet name="Bermudez_conf" sheetId="5" r:id="rId6"/>
    <sheet name="ISPL_conf" sheetId="1" r:id="rId7"/>
    <sheet name="H3G_conf" sheetId="4" r:id="rId8"/>
    <sheet name="ICA_conf" sheetId="13" r:id="rId9"/>
    <sheet name="GIR_conf " sheetId="3" r:id="rId10"/>
    <sheet name="Olawale_conf" sheetId="2" r:id="rId11"/>
    <sheet name="scoring matrix" sheetId="10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0" i="14" l="1"/>
  <c r="AB30" i="14"/>
  <c r="AA30" i="14"/>
  <c r="Z30" i="14"/>
  <c r="Y30" i="14"/>
  <c r="X30" i="14"/>
  <c r="W30" i="14"/>
  <c r="V30" i="14"/>
  <c r="U30" i="14"/>
  <c r="T30" i="14"/>
  <c r="S30" i="14"/>
  <c r="R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T13" i="14"/>
  <c r="S13" i="14"/>
  <c r="R13" i="14"/>
  <c r="Y12" i="14"/>
  <c r="X12" i="14"/>
  <c r="W12" i="14"/>
  <c r="V12" i="14"/>
  <c r="X11" i="14"/>
  <c r="W11" i="14"/>
  <c r="V11" i="14"/>
  <c r="U11" i="14"/>
  <c r="T11" i="14"/>
  <c r="S11" i="14"/>
  <c r="R11" i="14"/>
  <c r="T10" i="14"/>
  <c r="S10" i="14"/>
  <c r="R10" i="14"/>
  <c r="Y9" i="14"/>
  <c r="X9" i="14"/>
  <c r="W9" i="14"/>
  <c r="V9" i="14"/>
  <c r="X8" i="14"/>
  <c r="W8" i="14"/>
  <c r="V8" i="14"/>
  <c r="U8" i="14"/>
  <c r="T8" i="14"/>
  <c r="S8" i="14"/>
  <c r="R8" i="14"/>
  <c r="T7" i="14"/>
  <c r="S7" i="14"/>
  <c r="R7" i="14"/>
  <c r="Y6" i="14"/>
  <c r="X6" i="14"/>
  <c r="W6" i="14"/>
  <c r="V6" i="14"/>
  <c r="S6" i="14"/>
  <c r="X5" i="14"/>
  <c r="W5" i="14"/>
  <c r="V5" i="14"/>
  <c r="U5" i="14"/>
  <c r="T5" i="14"/>
  <c r="S5" i="14"/>
  <c r="R5" i="14"/>
  <c r="U4" i="14"/>
  <c r="T4" i="14"/>
  <c r="S4" i="14"/>
  <c r="R4" i="14"/>
  <c r="Z3" i="14"/>
  <c r="Y3" i="14"/>
  <c r="X3" i="14"/>
  <c r="R3" i="14"/>
  <c r="Z2" i="14"/>
  <c r="Y2" i="14"/>
  <c r="X2" i="14"/>
  <c r="W2" i="14"/>
  <c r="V2" i="14"/>
  <c r="U2" i="14"/>
  <c r="O2" i="14"/>
  <c r="AC13" i="14" s="1"/>
  <c r="AF22" i="9"/>
  <c r="AE25" i="14" l="1"/>
  <c r="S3" i="14"/>
  <c r="Y5" i="14"/>
  <c r="Y8" i="14"/>
  <c r="U13" i="14"/>
  <c r="T3" i="14"/>
  <c r="W4" i="14"/>
  <c r="R6" i="14"/>
  <c r="V7" i="14"/>
  <c r="R9" i="14"/>
  <c r="V10" i="14"/>
  <c r="R12" i="14"/>
  <c r="V13" i="14"/>
  <c r="W7" i="14"/>
  <c r="S9" i="14"/>
  <c r="W10" i="14"/>
  <c r="S12" i="14"/>
  <c r="W13" i="14"/>
  <c r="U10" i="14"/>
  <c r="R2" i="14"/>
  <c r="S2" i="14"/>
  <c r="V3" i="14"/>
  <c r="Y4" i="14"/>
  <c r="T6" i="14"/>
  <c r="X7" i="14"/>
  <c r="T9" i="14"/>
  <c r="X10" i="14"/>
  <c r="T12" i="14"/>
  <c r="X13" i="14"/>
  <c r="V4" i="14"/>
  <c r="U7" i="14"/>
  <c r="Y11" i="14"/>
  <c r="U3" i="14"/>
  <c r="X4" i="14"/>
  <c r="T2" i="14"/>
  <c r="W3" i="14"/>
  <c r="Z4" i="14"/>
  <c r="U6" i="14"/>
  <c r="Y7" i="14"/>
  <c r="U9" i="14"/>
  <c r="Y10" i="14"/>
  <c r="U12" i="14"/>
  <c r="Y13" i="14"/>
  <c r="Z7" i="14"/>
  <c r="Z13" i="14"/>
  <c r="AA2" i="14"/>
  <c r="AA3" i="14"/>
  <c r="AA4" i="14"/>
  <c r="AA5" i="14"/>
  <c r="AA6" i="14"/>
  <c r="AA7" i="14"/>
  <c r="AA8" i="14"/>
  <c r="AA9" i="14"/>
  <c r="AA10" i="14"/>
  <c r="AA11" i="14"/>
  <c r="AA12" i="14"/>
  <c r="AA13" i="14"/>
  <c r="Z5" i="14"/>
  <c r="Z6" i="14"/>
  <c r="Z8" i="14"/>
  <c r="Z9" i="14"/>
  <c r="Z10" i="14"/>
  <c r="Z11" i="14"/>
  <c r="Z12" i="14"/>
  <c r="AB2" i="14"/>
  <c r="AB3" i="14"/>
  <c r="AB4" i="14"/>
  <c r="AB5" i="14"/>
  <c r="AB6" i="14"/>
  <c r="AB7" i="14"/>
  <c r="AB8" i="14"/>
  <c r="AB9" i="14"/>
  <c r="AB10" i="14"/>
  <c r="AB11" i="14"/>
  <c r="AB12" i="14"/>
  <c r="AB13" i="14"/>
  <c r="AC2" i="14"/>
  <c r="AC3" i="14"/>
  <c r="AC4" i="14"/>
  <c r="AC5" i="14"/>
  <c r="AC6" i="14"/>
  <c r="AC7" i="14"/>
  <c r="AC8" i="14"/>
  <c r="AC9" i="14"/>
  <c r="AC10" i="14"/>
  <c r="AC11" i="14"/>
  <c r="AC12" i="14"/>
  <c r="E44" i="9" l="1"/>
  <c r="N61" i="9"/>
  <c r="M61" i="9"/>
  <c r="L61" i="9"/>
  <c r="K61" i="9"/>
  <c r="J61" i="9"/>
  <c r="I61" i="9"/>
  <c r="H61" i="9"/>
  <c r="G61" i="9"/>
  <c r="F61" i="9"/>
  <c r="E61" i="9"/>
  <c r="D61" i="9"/>
  <c r="C61" i="9"/>
  <c r="N51" i="9"/>
  <c r="M51" i="9"/>
  <c r="L51" i="9"/>
  <c r="K51" i="9"/>
  <c r="J51" i="9"/>
  <c r="I51" i="9"/>
  <c r="H51" i="9"/>
  <c r="G51" i="9"/>
  <c r="F51" i="9"/>
  <c r="E51" i="9"/>
  <c r="D51" i="9"/>
  <c r="C51" i="9"/>
  <c r="N47" i="9"/>
  <c r="M47" i="9"/>
  <c r="L47" i="9"/>
  <c r="K47" i="9"/>
  <c r="J47" i="9"/>
  <c r="I47" i="9"/>
  <c r="H47" i="9"/>
  <c r="G47" i="9"/>
  <c r="F47" i="9"/>
  <c r="E47" i="9"/>
  <c r="D47" i="9"/>
  <c r="C47" i="9"/>
  <c r="N37" i="9"/>
  <c r="M37" i="9"/>
  <c r="L37" i="9"/>
  <c r="K37" i="9"/>
  <c r="J37" i="9"/>
  <c r="I37" i="9"/>
  <c r="H37" i="9"/>
  <c r="G37" i="9"/>
  <c r="F37" i="9"/>
  <c r="E37" i="9"/>
  <c r="D37" i="9"/>
  <c r="C37" i="9"/>
  <c r="AB33" i="9"/>
  <c r="AA33" i="9"/>
  <c r="Z33" i="9"/>
  <c r="Y33" i="9"/>
  <c r="X33" i="9"/>
  <c r="W33" i="9"/>
  <c r="V33" i="9"/>
  <c r="U33" i="9"/>
  <c r="T33" i="9"/>
  <c r="S33" i="9"/>
  <c r="R33" i="9"/>
  <c r="Q33" i="9"/>
  <c r="N33" i="9"/>
  <c r="M33" i="9"/>
  <c r="L33" i="9"/>
  <c r="K33" i="9"/>
  <c r="J33" i="9"/>
  <c r="I33" i="9"/>
  <c r="H33" i="9"/>
  <c r="G33" i="9"/>
  <c r="F33" i="9"/>
  <c r="E33" i="9"/>
  <c r="D33" i="9"/>
  <c r="C33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B23" i="9"/>
  <c r="AA23" i="9"/>
  <c r="Z23" i="9"/>
  <c r="Y23" i="9"/>
  <c r="X23" i="9"/>
  <c r="W23" i="9"/>
  <c r="V23" i="9"/>
  <c r="U23" i="9"/>
  <c r="T23" i="9"/>
  <c r="S23" i="9"/>
  <c r="R23" i="9"/>
  <c r="Q23" i="9"/>
  <c r="N23" i="9"/>
  <c r="M23" i="9"/>
  <c r="L23" i="9"/>
  <c r="K23" i="9"/>
  <c r="J23" i="9"/>
  <c r="I23" i="9"/>
  <c r="H23" i="9"/>
  <c r="G23" i="9"/>
  <c r="F23" i="9"/>
  <c r="E23" i="9"/>
  <c r="D23" i="9"/>
  <c r="C23" i="9"/>
  <c r="AB19" i="9"/>
  <c r="AA19" i="9"/>
  <c r="Z19" i="9"/>
  <c r="Y19" i="9"/>
  <c r="X19" i="9"/>
  <c r="W19" i="9"/>
  <c r="V19" i="9"/>
  <c r="U19" i="9"/>
  <c r="T19" i="9"/>
  <c r="S19" i="9"/>
  <c r="R19" i="9"/>
  <c r="Q19" i="9"/>
  <c r="N19" i="9"/>
  <c r="M19" i="9"/>
  <c r="L19" i="9"/>
  <c r="K19" i="9"/>
  <c r="J19" i="9"/>
  <c r="I19" i="9"/>
  <c r="H19" i="9"/>
  <c r="G19" i="9"/>
  <c r="F19" i="9"/>
  <c r="E19" i="9"/>
  <c r="D19" i="9"/>
  <c r="C19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B9" i="9"/>
  <c r="AA9" i="9"/>
  <c r="Z9" i="9"/>
  <c r="Y9" i="9"/>
  <c r="X9" i="9"/>
  <c r="W9" i="9"/>
  <c r="V9" i="9"/>
  <c r="U9" i="9"/>
  <c r="T9" i="9"/>
  <c r="S9" i="9"/>
  <c r="R9" i="9"/>
  <c r="Q9" i="9"/>
  <c r="N9" i="9"/>
  <c r="M9" i="9"/>
  <c r="L9" i="9"/>
  <c r="K9" i="9"/>
  <c r="J9" i="9"/>
  <c r="I9" i="9"/>
  <c r="H9" i="9"/>
  <c r="G9" i="9"/>
  <c r="F9" i="9"/>
  <c r="E9" i="9"/>
  <c r="D9" i="9"/>
  <c r="C9" i="9"/>
  <c r="C24" i="9"/>
  <c r="D24" i="9"/>
  <c r="E24" i="9"/>
  <c r="F24" i="9"/>
  <c r="G24" i="9"/>
  <c r="H24" i="9"/>
  <c r="I24" i="9"/>
  <c r="J24" i="9"/>
  <c r="K24" i="9"/>
  <c r="L24" i="9"/>
  <c r="M24" i="9"/>
  <c r="N24" i="9"/>
  <c r="C25" i="9"/>
  <c r="D25" i="9"/>
  <c r="E25" i="9"/>
  <c r="F25" i="9"/>
  <c r="G25" i="9"/>
  <c r="H25" i="9"/>
  <c r="I25" i="9"/>
  <c r="J25" i="9"/>
  <c r="K25" i="9"/>
  <c r="L25" i="9"/>
  <c r="M25" i="9"/>
  <c r="N25" i="9"/>
  <c r="C26" i="9"/>
  <c r="D26" i="9"/>
  <c r="E26" i="9"/>
  <c r="F26" i="9"/>
  <c r="G26" i="9"/>
  <c r="H26" i="9"/>
  <c r="I26" i="9"/>
  <c r="J26" i="9"/>
  <c r="K26" i="9"/>
  <c r="L26" i="9"/>
  <c r="M26" i="9"/>
  <c r="N26" i="9"/>
  <c r="C27" i="9"/>
  <c r="D27" i="9"/>
  <c r="E27" i="9"/>
  <c r="F27" i="9"/>
  <c r="G27" i="9"/>
  <c r="H27" i="9"/>
  <c r="I27" i="9"/>
  <c r="J27" i="9"/>
  <c r="K27" i="9"/>
  <c r="L27" i="9"/>
  <c r="M27" i="9"/>
  <c r="N27" i="9"/>
  <c r="C28" i="9"/>
  <c r="D28" i="9"/>
  <c r="E28" i="9"/>
  <c r="F28" i="9"/>
  <c r="G28" i="9"/>
  <c r="H28" i="9"/>
  <c r="I28" i="9"/>
  <c r="J28" i="9"/>
  <c r="K28" i="9"/>
  <c r="L28" i="9"/>
  <c r="M28" i="9"/>
  <c r="N28" i="9"/>
  <c r="C29" i="9"/>
  <c r="D29" i="9"/>
  <c r="E29" i="9"/>
  <c r="F29" i="9"/>
  <c r="G29" i="9"/>
  <c r="H29" i="9"/>
  <c r="I29" i="9"/>
  <c r="J29" i="9"/>
  <c r="K29" i="9"/>
  <c r="L29" i="9"/>
  <c r="M29" i="9"/>
  <c r="N29" i="9"/>
  <c r="C30" i="9"/>
  <c r="D30" i="9"/>
  <c r="E30" i="9"/>
  <c r="F30" i="9"/>
  <c r="G30" i="9"/>
  <c r="H30" i="9"/>
  <c r="I30" i="9"/>
  <c r="J30" i="9"/>
  <c r="K30" i="9"/>
  <c r="L30" i="9"/>
  <c r="M30" i="9"/>
  <c r="N30" i="9"/>
  <c r="C31" i="9"/>
  <c r="D31" i="9"/>
  <c r="E31" i="9"/>
  <c r="F31" i="9"/>
  <c r="G31" i="9"/>
  <c r="H31" i="9"/>
  <c r="I31" i="9"/>
  <c r="J31" i="9"/>
  <c r="K31" i="9"/>
  <c r="L31" i="9"/>
  <c r="M31" i="9"/>
  <c r="N31" i="9"/>
  <c r="C32" i="9"/>
  <c r="D32" i="9"/>
  <c r="E32" i="9"/>
  <c r="F32" i="9"/>
  <c r="G32" i="9"/>
  <c r="H32" i="9"/>
  <c r="I32" i="9"/>
  <c r="J32" i="9"/>
  <c r="K32" i="9"/>
  <c r="L32" i="9"/>
  <c r="M32" i="9"/>
  <c r="N32" i="9"/>
  <c r="D22" i="9"/>
  <c r="E22" i="9"/>
  <c r="F22" i="9"/>
  <c r="G22" i="9"/>
  <c r="H22" i="9"/>
  <c r="I22" i="9"/>
  <c r="J22" i="9"/>
  <c r="K22" i="9"/>
  <c r="L22" i="9"/>
  <c r="M22" i="9"/>
  <c r="N22" i="9"/>
  <c r="C22" i="9"/>
  <c r="AC30" i="8"/>
  <c r="AB30" i="8"/>
  <c r="AA30" i="8"/>
  <c r="Z30" i="8"/>
  <c r="Y30" i="8"/>
  <c r="X30" i="8"/>
  <c r="W30" i="8"/>
  <c r="V30" i="8"/>
  <c r="U30" i="8"/>
  <c r="T30" i="8"/>
  <c r="S30" i="8"/>
  <c r="R30" i="8"/>
  <c r="AC29" i="8"/>
  <c r="AB29" i="8"/>
  <c r="AA29" i="8"/>
  <c r="Z29" i="8"/>
  <c r="Y29" i="8"/>
  <c r="X29" i="8"/>
  <c r="W29" i="8"/>
  <c r="V29" i="8"/>
  <c r="U29" i="8"/>
  <c r="T29" i="8"/>
  <c r="S29" i="8"/>
  <c r="R29" i="8"/>
  <c r="AC28" i="8"/>
  <c r="AB28" i="8"/>
  <c r="AA28" i="8"/>
  <c r="Z28" i="8"/>
  <c r="Y28" i="8"/>
  <c r="X28" i="8"/>
  <c r="W28" i="8"/>
  <c r="V28" i="8"/>
  <c r="U28" i="8"/>
  <c r="T28" i="8"/>
  <c r="S28" i="8"/>
  <c r="R28" i="8"/>
  <c r="AC27" i="8"/>
  <c r="AB27" i="8"/>
  <c r="AA27" i="8"/>
  <c r="Z27" i="8"/>
  <c r="Y27" i="8"/>
  <c r="X27" i="8"/>
  <c r="W27" i="8"/>
  <c r="V27" i="8"/>
  <c r="U27" i="8"/>
  <c r="T27" i="8"/>
  <c r="S27" i="8"/>
  <c r="R27" i="8"/>
  <c r="AC26" i="8"/>
  <c r="AB26" i="8"/>
  <c r="AA26" i="8"/>
  <c r="Z26" i="8"/>
  <c r="Y26" i="8"/>
  <c r="X26" i="8"/>
  <c r="W26" i="8"/>
  <c r="V26" i="8"/>
  <c r="U26" i="8"/>
  <c r="T26" i="8"/>
  <c r="S26" i="8"/>
  <c r="R26" i="8"/>
  <c r="AC25" i="8"/>
  <c r="AB25" i="8"/>
  <c r="AA25" i="8"/>
  <c r="Z25" i="8"/>
  <c r="Y25" i="8"/>
  <c r="X25" i="8"/>
  <c r="W25" i="8"/>
  <c r="V25" i="8"/>
  <c r="U25" i="8"/>
  <c r="T25" i="8"/>
  <c r="S25" i="8"/>
  <c r="R25" i="8"/>
  <c r="AC24" i="8"/>
  <c r="AB24" i="8"/>
  <c r="AA24" i="8"/>
  <c r="Z24" i="8"/>
  <c r="Y24" i="8"/>
  <c r="X24" i="8"/>
  <c r="W24" i="8"/>
  <c r="V24" i="8"/>
  <c r="U24" i="8"/>
  <c r="T24" i="8"/>
  <c r="S24" i="8"/>
  <c r="R24" i="8"/>
  <c r="AC23" i="8"/>
  <c r="AB23" i="8"/>
  <c r="AA23" i="8"/>
  <c r="Z23" i="8"/>
  <c r="Y23" i="8"/>
  <c r="X23" i="8"/>
  <c r="W23" i="8"/>
  <c r="V23" i="8"/>
  <c r="U23" i="8"/>
  <c r="T23" i="8"/>
  <c r="S23" i="8"/>
  <c r="R23" i="8"/>
  <c r="AC22" i="8"/>
  <c r="AB22" i="8"/>
  <c r="AA22" i="8"/>
  <c r="Z22" i="8"/>
  <c r="Y22" i="8"/>
  <c r="X22" i="8"/>
  <c r="W22" i="8"/>
  <c r="V22" i="8"/>
  <c r="U22" i="8"/>
  <c r="T22" i="8"/>
  <c r="S22" i="8"/>
  <c r="R22" i="8"/>
  <c r="AC21" i="8"/>
  <c r="AB21" i="8"/>
  <c r="AA21" i="8"/>
  <c r="Z21" i="8"/>
  <c r="Y21" i="8"/>
  <c r="X21" i="8"/>
  <c r="W21" i="8"/>
  <c r="V21" i="8"/>
  <c r="U21" i="8"/>
  <c r="T21" i="8"/>
  <c r="S21" i="8"/>
  <c r="R21" i="8"/>
  <c r="AC20" i="8"/>
  <c r="AB20" i="8"/>
  <c r="AA20" i="8"/>
  <c r="Z20" i="8"/>
  <c r="Y20" i="8"/>
  <c r="X20" i="8"/>
  <c r="W20" i="8"/>
  <c r="V20" i="8"/>
  <c r="U20" i="8"/>
  <c r="T20" i="8"/>
  <c r="S20" i="8"/>
  <c r="R20" i="8"/>
  <c r="AC19" i="8"/>
  <c r="AB19" i="8"/>
  <c r="AA19" i="8"/>
  <c r="Z19" i="8"/>
  <c r="Y19" i="8"/>
  <c r="X19" i="8"/>
  <c r="W19" i="8"/>
  <c r="V19" i="8"/>
  <c r="U19" i="8"/>
  <c r="T19" i="8"/>
  <c r="S19" i="8"/>
  <c r="R19" i="8"/>
  <c r="AE25" i="8" s="1"/>
  <c r="AC30" i="7"/>
  <c r="AB30" i="7"/>
  <c r="AA30" i="7"/>
  <c r="Z30" i="7"/>
  <c r="Y30" i="7"/>
  <c r="X30" i="7"/>
  <c r="W30" i="7"/>
  <c r="V30" i="7"/>
  <c r="U30" i="7"/>
  <c r="T30" i="7"/>
  <c r="S30" i="7"/>
  <c r="R30" i="7"/>
  <c r="AC29" i="7"/>
  <c r="AB29" i="7"/>
  <c r="AA29" i="7"/>
  <c r="Z29" i="7"/>
  <c r="Y29" i="7"/>
  <c r="X29" i="7"/>
  <c r="W29" i="7"/>
  <c r="V29" i="7"/>
  <c r="U29" i="7"/>
  <c r="T29" i="7"/>
  <c r="S29" i="7"/>
  <c r="R29" i="7"/>
  <c r="AC28" i="7"/>
  <c r="AB28" i="7"/>
  <c r="AA28" i="7"/>
  <c r="Z28" i="7"/>
  <c r="Y28" i="7"/>
  <c r="X28" i="7"/>
  <c r="W28" i="7"/>
  <c r="V28" i="7"/>
  <c r="U28" i="7"/>
  <c r="T28" i="7"/>
  <c r="S28" i="7"/>
  <c r="R28" i="7"/>
  <c r="AC27" i="7"/>
  <c r="AB27" i="7"/>
  <c r="AA27" i="7"/>
  <c r="Z27" i="7"/>
  <c r="Y27" i="7"/>
  <c r="X27" i="7"/>
  <c r="W27" i="7"/>
  <c r="V27" i="7"/>
  <c r="U27" i="7"/>
  <c r="T27" i="7"/>
  <c r="S27" i="7"/>
  <c r="R27" i="7"/>
  <c r="AC26" i="7"/>
  <c r="AB26" i="7"/>
  <c r="AA26" i="7"/>
  <c r="Z26" i="7"/>
  <c r="Y26" i="7"/>
  <c r="X26" i="7"/>
  <c r="W26" i="7"/>
  <c r="V26" i="7"/>
  <c r="U26" i="7"/>
  <c r="T26" i="7"/>
  <c r="S26" i="7"/>
  <c r="R26" i="7"/>
  <c r="AC25" i="7"/>
  <c r="AB25" i="7"/>
  <c r="AA25" i="7"/>
  <c r="Z25" i="7"/>
  <c r="Y25" i="7"/>
  <c r="X25" i="7"/>
  <c r="W25" i="7"/>
  <c r="V25" i="7"/>
  <c r="U25" i="7"/>
  <c r="T25" i="7"/>
  <c r="S25" i="7"/>
  <c r="R25" i="7"/>
  <c r="AC24" i="7"/>
  <c r="AB24" i="7"/>
  <c r="AA24" i="7"/>
  <c r="Z24" i="7"/>
  <c r="Y24" i="7"/>
  <c r="X24" i="7"/>
  <c r="W24" i="7"/>
  <c r="V24" i="7"/>
  <c r="U24" i="7"/>
  <c r="T24" i="7"/>
  <c r="S24" i="7"/>
  <c r="R24" i="7"/>
  <c r="AC23" i="7"/>
  <c r="AB23" i="7"/>
  <c r="AA23" i="7"/>
  <c r="Z23" i="7"/>
  <c r="Y23" i="7"/>
  <c r="X23" i="7"/>
  <c r="W23" i="7"/>
  <c r="V23" i="7"/>
  <c r="U23" i="7"/>
  <c r="T23" i="7"/>
  <c r="S23" i="7"/>
  <c r="R23" i="7"/>
  <c r="AC22" i="7"/>
  <c r="AB22" i="7"/>
  <c r="AA22" i="7"/>
  <c r="Z22" i="7"/>
  <c r="Y22" i="7"/>
  <c r="X22" i="7"/>
  <c r="W22" i="7"/>
  <c r="V22" i="7"/>
  <c r="U22" i="7"/>
  <c r="T22" i="7"/>
  <c r="S22" i="7"/>
  <c r="R22" i="7"/>
  <c r="AC21" i="7"/>
  <c r="AB21" i="7"/>
  <c r="AA21" i="7"/>
  <c r="Z21" i="7"/>
  <c r="Y21" i="7"/>
  <c r="X21" i="7"/>
  <c r="W21" i="7"/>
  <c r="V21" i="7"/>
  <c r="U21" i="7"/>
  <c r="T21" i="7"/>
  <c r="S21" i="7"/>
  <c r="R21" i="7"/>
  <c r="AC20" i="7"/>
  <c r="AB20" i="7"/>
  <c r="AA20" i="7"/>
  <c r="Z20" i="7"/>
  <c r="Y20" i="7"/>
  <c r="X20" i="7"/>
  <c r="W20" i="7"/>
  <c r="V20" i="7"/>
  <c r="U20" i="7"/>
  <c r="T20" i="7"/>
  <c r="S20" i="7"/>
  <c r="R20" i="7"/>
  <c r="AC19" i="7"/>
  <c r="AB19" i="7"/>
  <c r="AA19" i="7"/>
  <c r="Z19" i="7"/>
  <c r="Y19" i="7"/>
  <c r="X19" i="7"/>
  <c r="W19" i="7"/>
  <c r="V19" i="7"/>
  <c r="U19" i="7"/>
  <c r="T19" i="7"/>
  <c r="S19" i="7"/>
  <c r="R19" i="7"/>
  <c r="AE25" i="7" s="1"/>
  <c r="AC30" i="6"/>
  <c r="AB30" i="6"/>
  <c r="AA30" i="6"/>
  <c r="Z30" i="6"/>
  <c r="Y30" i="6"/>
  <c r="X30" i="6"/>
  <c r="W30" i="6"/>
  <c r="V30" i="6"/>
  <c r="U30" i="6"/>
  <c r="T30" i="6"/>
  <c r="S30" i="6"/>
  <c r="R30" i="6"/>
  <c r="AC29" i="6"/>
  <c r="AB29" i="6"/>
  <c r="AA29" i="6"/>
  <c r="Z29" i="6"/>
  <c r="Y29" i="6"/>
  <c r="X29" i="6"/>
  <c r="W29" i="6"/>
  <c r="V29" i="6"/>
  <c r="U29" i="6"/>
  <c r="T29" i="6"/>
  <c r="S29" i="6"/>
  <c r="R29" i="6"/>
  <c r="AC28" i="6"/>
  <c r="AB28" i="6"/>
  <c r="AA28" i="6"/>
  <c r="Z28" i="6"/>
  <c r="Y28" i="6"/>
  <c r="X28" i="6"/>
  <c r="W28" i="6"/>
  <c r="V28" i="6"/>
  <c r="U28" i="6"/>
  <c r="T28" i="6"/>
  <c r="S28" i="6"/>
  <c r="R28" i="6"/>
  <c r="AC27" i="6"/>
  <c r="AB27" i="6"/>
  <c r="AA27" i="6"/>
  <c r="Z27" i="6"/>
  <c r="Y27" i="6"/>
  <c r="X27" i="6"/>
  <c r="W27" i="6"/>
  <c r="V27" i="6"/>
  <c r="U27" i="6"/>
  <c r="T27" i="6"/>
  <c r="S27" i="6"/>
  <c r="R27" i="6"/>
  <c r="AC26" i="6"/>
  <c r="AB26" i="6"/>
  <c r="AA26" i="6"/>
  <c r="Z26" i="6"/>
  <c r="Y26" i="6"/>
  <c r="X26" i="6"/>
  <c r="W26" i="6"/>
  <c r="V26" i="6"/>
  <c r="U26" i="6"/>
  <c r="T26" i="6"/>
  <c r="S26" i="6"/>
  <c r="R26" i="6"/>
  <c r="AC25" i="6"/>
  <c r="AB25" i="6"/>
  <c r="AA25" i="6"/>
  <c r="Z25" i="6"/>
  <c r="Y25" i="6"/>
  <c r="X25" i="6"/>
  <c r="W25" i="6"/>
  <c r="V25" i="6"/>
  <c r="U25" i="6"/>
  <c r="T25" i="6"/>
  <c r="S25" i="6"/>
  <c r="R25" i="6"/>
  <c r="AC24" i="6"/>
  <c r="AB24" i="6"/>
  <c r="AA24" i="6"/>
  <c r="Z24" i="6"/>
  <c r="Y24" i="6"/>
  <c r="X24" i="6"/>
  <c r="W24" i="6"/>
  <c r="V24" i="6"/>
  <c r="U24" i="6"/>
  <c r="T24" i="6"/>
  <c r="S24" i="6"/>
  <c r="R24" i="6"/>
  <c r="AC23" i="6"/>
  <c r="AB23" i="6"/>
  <c r="AA23" i="6"/>
  <c r="Z23" i="6"/>
  <c r="Y23" i="6"/>
  <c r="X23" i="6"/>
  <c r="W23" i="6"/>
  <c r="V23" i="6"/>
  <c r="U23" i="6"/>
  <c r="T23" i="6"/>
  <c r="S23" i="6"/>
  <c r="R23" i="6"/>
  <c r="AC22" i="6"/>
  <c r="AB22" i="6"/>
  <c r="AA22" i="6"/>
  <c r="Z22" i="6"/>
  <c r="Y22" i="6"/>
  <c r="X22" i="6"/>
  <c r="W22" i="6"/>
  <c r="V22" i="6"/>
  <c r="U22" i="6"/>
  <c r="T22" i="6"/>
  <c r="S22" i="6"/>
  <c r="R22" i="6"/>
  <c r="AC21" i="6"/>
  <c r="AB21" i="6"/>
  <c r="AA21" i="6"/>
  <c r="Z21" i="6"/>
  <c r="Y21" i="6"/>
  <c r="X21" i="6"/>
  <c r="W21" i="6"/>
  <c r="V21" i="6"/>
  <c r="U21" i="6"/>
  <c r="T21" i="6"/>
  <c r="S21" i="6"/>
  <c r="R21" i="6"/>
  <c r="AC20" i="6"/>
  <c r="AB20" i="6"/>
  <c r="AA20" i="6"/>
  <c r="Z20" i="6"/>
  <c r="Y20" i="6"/>
  <c r="X20" i="6"/>
  <c r="W20" i="6"/>
  <c r="V20" i="6"/>
  <c r="U20" i="6"/>
  <c r="T20" i="6"/>
  <c r="S20" i="6"/>
  <c r="R20" i="6"/>
  <c r="AC19" i="6"/>
  <c r="AB19" i="6"/>
  <c r="AA19" i="6"/>
  <c r="Z19" i="6"/>
  <c r="Y19" i="6"/>
  <c r="X19" i="6"/>
  <c r="W19" i="6"/>
  <c r="V19" i="6"/>
  <c r="U19" i="6"/>
  <c r="T19" i="6"/>
  <c r="S19" i="6"/>
  <c r="R19" i="6"/>
  <c r="AE25" i="6" s="1"/>
  <c r="AC30" i="5"/>
  <c r="AB30" i="5"/>
  <c r="AA30" i="5"/>
  <c r="Z30" i="5"/>
  <c r="Y30" i="5"/>
  <c r="X30" i="5"/>
  <c r="W30" i="5"/>
  <c r="V30" i="5"/>
  <c r="U30" i="5"/>
  <c r="T30" i="5"/>
  <c r="S30" i="5"/>
  <c r="R30" i="5"/>
  <c r="AC29" i="5"/>
  <c r="AB29" i="5"/>
  <c r="AA29" i="5"/>
  <c r="Z29" i="5"/>
  <c r="Y29" i="5"/>
  <c r="X29" i="5"/>
  <c r="W29" i="5"/>
  <c r="V29" i="5"/>
  <c r="U29" i="5"/>
  <c r="T29" i="5"/>
  <c r="S29" i="5"/>
  <c r="R29" i="5"/>
  <c r="AC28" i="5"/>
  <c r="AB28" i="5"/>
  <c r="AA28" i="5"/>
  <c r="Z28" i="5"/>
  <c r="Y28" i="5"/>
  <c r="X28" i="5"/>
  <c r="W28" i="5"/>
  <c r="V28" i="5"/>
  <c r="U28" i="5"/>
  <c r="T28" i="5"/>
  <c r="S28" i="5"/>
  <c r="R28" i="5"/>
  <c r="AC27" i="5"/>
  <c r="AB27" i="5"/>
  <c r="AA27" i="5"/>
  <c r="Z27" i="5"/>
  <c r="Y27" i="5"/>
  <c r="X27" i="5"/>
  <c r="W27" i="5"/>
  <c r="V27" i="5"/>
  <c r="U27" i="5"/>
  <c r="T27" i="5"/>
  <c r="S27" i="5"/>
  <c r="R27" i="5"/>
  <c r="AC26" i="5"/>
  <c r="AB26" i="5"/>
  <c r="AA26" i="5"/>
  <c r="Z26" i="5"/>
  <c r="Y26" i="5"/>
  <c r="X26" i="5"/>
  <c r="W26" i="5"/>
  <c r="V26" i="5"/>
  <c r="U26" i="5"/>
  <c r="T26" i="5"/>
  <c r="S26" i="5"/>
  <c r="R26" i="5"/>
  <c r="AC25" i="5"/>
  <c r="AB25" i="5"/>
  <c r="AA25" i="5"/>
  <c r="Z25" i="5"/>
  <c r="Y25" i="5"/>
  <c r="X25" i="5"/>
  <c r="W25" i="5"/>
  <c r="V25" i="5"/>
  <c r="U25" i="5"/>
  <c r="T25" i="5"/>
  <c r="S25" i="5"/>
  <c r="R25" i="5"/>
  <c r="AC24" i="5"/>
  <c r="AB24" i="5"/>
  <c r="AA24" i="5"/>
  <c r="Z24" i="5"/>
  <c r="Y24" i="5"/>
  <c r="X24" i="5"/>
  <c r="W24" i="5"/>
  <c r="V24" i="5"/>
  <c r="U24" i="5"/>
  <c r="T24" i="5"/>
  <c r="S24" i="5"/>
  <c r="R24" i="5"/>
  <c r="AC23" i="5"/>
  <c r="AB23" i="5"/>
  <c r="AA23" i="5"/>
  <c r="Z23" i="5"/>
  <c r="Y23" i="5"/>
  <c r="X23" i="5"/>
  <c r="W23" i="5"/>
  <c r="V23" i="5"/>
  <c r="U23" i="5"/>
  <c r="T23" i="5"/>
  <c r="S23" i="5"/>
  <c r="R23" i="5"/>
  <c r="AC22" i="5"/>
  <c r="AB22" i="5"/>
  <c r="AA22" i="5"/>
  <c r="Z22" i="5"/>
  <c r="Y22" i="5"/>
  <c r="X22" i="5"/>
  <c r="W22" i="5"/>
  <c r="V22" i="5"/>
  <c r="U22" i="5"/>
  <c r="T22" i="5"/>
  <c r="S22" i="5"/>
  <c r="R22" i="5"/>
  <c r="AC21" i="5"/>
  <c r="AB21" i="5"/>
  <c r="AA21" i="5"/>
  <c r="Z21" i="5"/>
  <c r="Y21" i="5"/>
  <c r="X21" i="5"/>
  <c r="W21" i="5"/>
  <c r="V21" i="5"/>
  <c r="U21" i="5"/>
  <c r="T21" i="5"/>
  <c r="S21" i="5"/>
  <c r="R21" i="5"/>
  <c r="AC20" i="5"/>
  <c r="AB20" i="5"/>
  <c r="AA20" i="5"/>
  <c r="Z20" i="5"/>
  <c r="Y20" i="5"/>
  <c r="X20" i="5"/>
  <c r="W20" i="5"/>
  <c r="V20" i="5"/>
  <c r="U20" i="5"/>
  <c r="T20" i="5"/>
  <c r="S20" i="5"/>
  <c r="R20" i="5"/>
  <c r="AC19" i="5"/>
  <c r="AB19" i="5"/>
  <c r="AA19" i="5"/>
  <c r="Z19" i="5"/>
  <c r="Y19" i="5"/>
  <c r="X19" i="5"/>
  <c r="W19" i="5"/>
  <c r="V19" i="5"/>
  <c r="U19" i="5"/>
  <c r="T19" i="5"/>
  <c r="S19" i="5"/>
  <c r="R19" i="5"/>
  <c r="AE25" i="5" s="1"/>
  <c r="AC30" i="1"/>
  <c r="AB30" i="1"/>
  <c r="AA30" i="1"/>
  <c r="Z30" i="1"/>
  <c r="Y30" i="1"/>
  <c r="X30" i="1"/>
  <c r="W30" i="1"/>
  <c r="V30" i="1"/>
  <c r="U30" i="1"/>
  <c r="T30" i="1"/>
  <c r="S30" i="1"/>
  <c r="R30" i="1"/>
  <c r="AC29" i="1"/>
  <c r="AB29" i="1"/>
  <c r="AA29" i="1"/>
  <c r="Z29" i="1"/>
  <c r="Y29" i="1"/>
  <c r="X29" i="1"/>
  <c r="W29" i="1"/>
  <c r="V29" i="1"/>
  <c r="U29" i="1"/>
  <c r="T29" i="1"/>
  <c r="S29" i="1"/>
  <c r="R29" i="1"/>
  <c r="AC28" i="1"/>
  <c r="AB28" i="1"/>
  <c r="AA28" i="1"/>
  <c r="Z28" i="1"/>
  <c r="Y28" i="1"/>
  <c r="X28" i="1"/>
  <c r="W28" i="1"/>
  <c r="V28" i="1"/>
  <c r="U28" i="1"/>
  <c r="T28" i="1"/>
  <c r="S28" i="1"/>
  <c r="R28" i="1"/>
  <c r="AC27" i="1"/>
  <c r="AB27" i="1"/>
  <c r="AA27" i="1"/>
  <c r="Z27" i="1"/>
  <c r="Y27" i="1"/>
  <c r="X27" i="1"/>
  <c r="W27" i="1"/>
  <c r="V27" i="1"/>
  <c r="U27" i="1"/>
  <c r="T27" i="1"/>
  <c r="S27" i="1"/>
  <c r="R27" i="1"/>
  <c r="AC26" i="1"/>
  <c r="AB26" i="1"/>
  <c r="AA26" i="1"/>
  <c r="Z26" i="1"/>
  <c r="Y26" i="1"/>
  <c r="X26" i="1"/>
  <c r="W26" i="1"/>
  <c r="V26" i="1"/>
  <c r="U26" i="1"/>
  <c r="T26" i="1"/>
  <c r="S26" i="1"/>
  <c r="R26" i="1"/>
  <c r="AC25" i="1"/>
  <c r="AB25" i="1"/>
  <c r="AA25" i="1"/>
  <c r="Z25" i="1"/>
  <c r="Y25" i="1"/>
  <c r="X25" i="1"/>
  <c r="W25" i="1"/>
  <c r="V25" i="1"/>
  <c r="U25" i="1"/>
  <c r="T25" i="1"/>
  <c r="S25" i="1"/>
  <c r="R25" i="1"/>
  <c r="AC24" i="1"/>
  <c r="AB24" i="1"/>
  <c r="AA24" i="1"/>
  <c r="Z24" i="1"/>
  <c r="Y24" i="1"/>
  <c r="X24" i="1"/>
  <c r="W24" i="1"/>
  <c r="V24" i="1"/>
  <c r="U24" i="1"/>
  <c r="T24" i="1"/>
  <c r="S24" i="1"/>
  <c r="R24" i="1"/>
  <c r="AC23" i="1"/>
  <c r="AB23" i="1"/>
  <c r="AA23" i="1"/>
  <c r="Z23" i="1"/>
  <c r="Y23" i="1"/>
  <c r="X23" i="1"/>
  <c r="W23" i="1"/>
  <c r="V23" i="1"/>
  <c r="U23" i="1"/>
  <c r="T23" i="1"/>
  <c r="S23" i="1"/>
  <c r="R23" i="1"/>
  <c r="AC22" i="1"/>
  <c r="AB22" i="1"/>
  <c r="AA22" i="1"/>
  <c r="Z22" i="1"/>
  <c r="Y22" i="1"/>
  <c r="X22" i="1"/>
  <c r="W22" i="1"/>
  <c r="V22" i="1"/>
  <c r="U22" i="1"/>
  <c r="T22" i="1"/>
  <c r="S22" i="1"/>
  <c r="R22" i="1"/>
  <c r="AC21" i="1"/>
  <c r="AB21" i="1"/>
  <c r="AA21" i="1"/>
  <c r="Z21" i="1"/>
  <c r="Y21" i="1"/>
  <c r="X21" i="1"/>
  <c r="W21" i="1"/>
  <c r="V21" i="1"/>
  <c r="U21" i="1"/>
  <c r="T21" i="1"/>
  <c r="S21" i="1"/>
  <c r="R21" i="1"/>
  <c r="AC20" i="1"/>
  <c r="AB20" i="1"/>
  <c r="AA20" i="1"/>
  <c r="Z20" i="1"/>
  <c r="Y20" i="1"/>
  <c r="X20" i="1"/>
  <c r="W20" i="1"/>
  <c r="V20" i="1"/>
  <c r="U20" i="1"/>
  <c r="T20" i="1"/>
  <c r="S20" i="1"/>
  <c r="R20" i="1"/>
  <c r="AC19" i="1"/>
  <c r="AB19" i="1"/>
  <c r="AA19" i="1"/>
  <c r="Z19" i="1"/>
  <c r="Y19" i="1"/>
  <c r="X19" i="1"/>
  <c r="W19" i="1"/>
  <c r="V19" i="1"/>
  <c r="U19" i="1"/>
  <c r="T19" i="1"/>
  <c r="S19" i="1"/>
  <c r="R19" i="1"/>
  <c r="AE25" i="1" s="1"/>
  <c r="AE25" i="4"/>
  <c r="R20" i="4"/>
  <c r="S20" i="4"/>
  <c r="T20" i="4"/>
  <c r="U20" i="4"/>
  <c r="V20" i="4"/>
  <c r="W20" i="4"/>
  <c r="X20" i="4"/>
  <c r="Y20" i="4"/>
  <c r="Z20" i="4"/>
  <c r="AA20" i="4"/>
  <c r="AB20" i="4"/>
  <c r="AC20" i="4"/>
  <c r="R21" i="4"/>
  <c r="S21" i="4"/>
  <c r="T21" i="4"/>
  <c r="U21" i="4"/>
  <c r="V21" i="4"/>
  <c r="W21" i="4"/>
  <c r="X21" i="4"/>
  <c r="Y21" i="4"/>
  <c r="Z21" i="4"/>
  <c r="AA21" i="4"/>
  <c r="AB21" i="4"/>
  <c r="AC21" i="4"/>
  <c r="R22" i="4"/>
  <c r="S22" i="4"/>
  <c r="T22" i="4"/>
  <c r="U22" i="4"/>
  <c r="V22" i="4"/>
  <c r="W22" i="4"/>
  <c r="X22" i="4"/>
  <c r="Y22" i="4"/>
  <c r="Z22" i="4"/>
  <c r="AA22" i="4"/>
  <c r="AB22" i="4"/>
  <c r="AC22" i="4"/>
  <c r="R23" i="4"/>
  <c r="S23" i="4"/>
  <c r="T23" i="4"/>
  <c r="U23" i="4"/>
  <c r="V23" i="4"/>
  <c r="W23" i="4"/>
  <c r="X23" i="4"/>
  <c r="Y23" i="4"/>
  <c r="Z23" i="4"/>
  <c r="AA23" i="4"/>
  <c r="AB23" i="4"/>
  <c r="AC23" i="4"/>
  <c r="R24" i="4"/>
  <c r="S24" i="4"/>
  <c r="T24" i="4"/>
  <c r="U24" i="4"/>
  <c r="V24" i="4"/>
  <c r="W24" i="4"/>
  <c r="X24" i="4"/>
  <c r="Y24" i="4"/>
  <c r="Z24" i="4"/>
  <c r="AA24" i="4"/>
  <c r="AB24" i="4"/>
  <c r="AC24" i="4"/>
  <c r="R25" i="4"/>
  <c r="S25" i="4"/>
  <c r="T25" i="4"/>
  <c r="U25" i="4"/>
  <c r="V25" i="4"/>
  <c r="W25" i="4"/>
  <c r="X25" i="4"/>
  <c r="Y25" i="4"/>
  <c r="Z25" i="4"/>
  <c r="AA25" i="4"/>
  <c r="AB25" i="4"/>
  <c r="AC25" i="4"/>
  <c r="R26" i="4"/>
  <c r="S26" i="4"/>
  <c r="T26" i="4"/>
  <c r="U26" i="4"/>
  <c r="V26" i="4"/>
  <c r="W26" i="4"/>
  <c r="X26" i="4"/>
  <c r="Y26" i="4"/>
  <c r="Z26" i="4"/>
  <c r="AA26" i="4"/>
  <c r="AB26" i="4"/>
  <c r="AC26" i="4"/>
  <c r="R27" i="4"/>
  <c r="S27" i="4"/>
  <c r="T27" i="4"/>
  <c r="U27" i="4"/>
  <c r="V27" i="4"/>
  <c r="W27" i="4"/>
  <c r="X27" i="4"/>
  <c r="Y27" i="4"/>
  <c r="Z27" i="4"/>
  <c r="AA27" i="4"/>
  <c r="AB27" i="4"/>
  <c r="AC27" i="4"/>
  <c r="R28" i="4"/>
  <c r="S28" i="4"/>
  <c r="T28" i="4"/>
  <c r="U28" i="4"/>
  <c r="V28" i="4"/>
  <c r="W28" i="4"/>
  <c r="X28" i="4"/>
  <c r="Y28" i="4"/>
  <c r="Z28" i="4"/>
  <c r="AA28" i="4"/>
  <c r="AB28" i="4"/>
  <c r="AC28" i="4"/>
  <c r="R29" i="4"/>
  <c r="S29" i="4"/>
  <c r="T29" i="4"/>
  <c r="U29" i="4"/>
  <c r="V29" i="4"/>
  <c r="W29" i="4"/>
  <c r="X29" i="4"/>
  <c r="Y29" i="4"/>
  <c r="Z29" i="4"/>
  <c r="AA29" i="4"/>
  <c r="AB29" i="4"/>
  <c r="AC29" i="4"/>
  <c r="R30" i="4"/>
  <c r="S30" i="4"/>
  <c r="T30" i="4"/>
  <c r="U30" i="4"/>
  <c r="V30" i="4"/>
  <c r="W30" i="4"/>
  <c r="X30" i="4"/>
  <c r="Y30" i="4"/>
  <c r="Z30" i="4"/>
  <c r="AA30" i="4"/>
  <c r="AB30" i="4"/>
  <c r="AC30" i="4"/>
  <c r="S19" i="4"/>
  <c r="T19" i="4"/>
  <c r="U19" i="4"/>
  <c r="V19" i="4"/>
  <c r="W19" i="4"/>
  <c r="X19" i="4"/>
  <c r="Y19" i="4"/>
  <c r="Z19" i="4"/>
  <c r="AA19" i="4"/>
  <c r="AB19" i="4"/>
  <c r="AC19" i="4"/>
  <c r="R19" i="4"/>
  <c r="AC30" i="13"/>
  <c r="AB30" i="13"/>
  <c r="AA30" i="13"/>
  <c r="Z30" i="13"/>
  <c r="Y30" i="13"/>
  <c r="X30" i="13"/>
  <c r="W30" i="13"/>
  <c r="V30" i="13"/>
  <c r="U30" i="13"/>
  <c r="T30" i="13"/>
  <c r="S30" i="13"/>
  <c r="R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AE25" i="13" s="1"/>
  <c r="M19" i="13"/>
  <c r="L19" i="13"/>
  <c r="K19" i="13"/>
  <c r="J19" i="13"/>
  <c r="I19" i="13"/>
  <c r="H19" i="13"/>
  <c r="G19" i="13"/>
  <c r="F19" i="13"/>
  <c r="E19" i="13"/>
  <c r="D19" i="13"/>
  <c r="C19" i="13"/>
  <c r="B19" i="13"/>
  <c r="W13" i="13"/>
  <c r="V13" i="13"/>
  <c r="U13" i="13"/>
  <c r="T13" i="13"/>
  <c r="S13" i="13"/>
  <c r="R13" i="13"/>
  <c r="Z12" i="13"/>
  <c r="Y12" i="13"/>
  <c r="X12" i="13"/>
  <c r="T12" i="13"/>
  <c r="S12" i="13"/>
  <c r="R12" i="13"/>
  <c r="Z11" i="13"/>
  <c r="Y11" i="13"/>
  <c r="X11" i="13"/>
  <c r="W11" i="13"/>
  <c r="V11" i="13"/>
  <c r="U11" i="13"/>
  <c r="Z10" i="13"/>
  <c r="Y10" i="13"/>
  <c r="X10" i="13"/>
  <c r="W10" i="13"/>
  <c r="V10" i="13"/>
  <c r="U10" i="13"/>
  <c r="T10" i="13"/>
  <c r="S10" i="13"/>
  <c r="R10" i="13"/>
  <c r="W9" i="13"/>
  <c r="V9" i="13"/>
  <c r="U9" i="13"/>
  <c r="T9" i="13"/>
  <c r="S9" i="13"/>
  <c r="R9" i="13"/>
  <c r="Z8" i="13"/>
  <c r="Y8" i="13"/>
  <c r="X8" i="13"/>
  <c r="T8" i="13"/>
  <c r="S8" i="13"/>
  <c r="R8" i="13"/>
  <c r="Z7" i="13"/>
  <c r="Y7" i="13"/>
  <c r="X7" i="13"/>
  <c r="W7" i="13"/>
  <c r="V7" i="13"/>
  <c r="U7" i="13"/>
  <c r="Z6" i="13"/>
  <c r="Y6" i="13"/>
  <c r="X6" i="13"/>
  <c r="W6" i="13"/>
  <c r="V6" i="13"/>
  <c r="U6" i="13"/>
  <c r="T6" i="13"/>
  <c r="S6" i="13"/>
  <c r="R6" i="13"/>
  <c r="W5" i="13"/>
  <c r="V5" i="13"/>
  <c r="U5" i="13"/>
  <c r="T5" i="13"/>
  <c r="S5" i="13"/>
  <c r="R5" i="13"/>
  <c r="Z4" i="13"/>
  <c r="Y4" i="13"/>
  <c r="X4" i="13"/>
  <c r="T4" i="13"/>
  <c r="S4" i="13"/>
  <c r="R4" i="13"/>
  <c r="Z3" i="13"/>
  <c r="Y3" i="13"/>
  <c r="X3" i="13"/>
  <c r="W3" i="13"/>
  <c r="V3" i="13"/>
  <c r="U3" i="13"/>
  <c r="AB2" i="13"/>
  <c r="Z2" i="13"/>
  <c r="Y2" i="13"/>
  <c r="X2" i="13"/>
  <c r="W2" i="13"/>
  <c r="V2" i="13"/>
  <c r="U2" i="13"/>
  <c r="T2" i="13"/>
  <c r="S2" i="13"/>
  <c r="O2" i="13"/>
  <c r="AC13" i="13" s="1"/>
  <c r="AE23" i="9"/>
  <c r="AF23" i="9"/>
  <c r="AG23" i="9"/>
  <c r="AH23" i="9"/>
  <c r="AI23" i="9"/>
  <c r="AJ23" i="9"/>
  <c r="AK23" i="9"/>
  <c r="AL23" i="9"/>
  <c r="AM23" i="9"/>
  <c r="AN23" i="9"/>
  <c r="AO23" i="9"/>
  <c r="AP23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E31" i="9"/>
  <c r="AF31" i="9"/>
  <c r="AG31" i="9"/>
  <c r="AH31" i="9"/>
  <c r="AI31" i="9"/>
  <c r="AJ31" i="9"/>
  <c r="AK31" i="9"/>
  <c r="AL31" i="9"/>
  <c r="AM31" i="9"/>
  <c r="AN31" i="9"/>
  <c r="AO31" i="9"/>
  <c r="AP31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G22" i="9"/>
  <c r="AH22" i="9"/>
  <c r="AI22" i="9"/>
  <c r="AJ22" i="9"/>
  <c r="AK22" i="9"/>
  <c r="AL22" i="9"/>
  <c r="AM22" i="9"/>
  <c r="AN22" i="9"/>
  <c r="AO22" i="9"/>
  <c r="AP22" i="9"/>
  <c r="AE22" i="9"/>
  <c r="AF8" i="9"/>
  <c r="AG8" i="9"/>
  <c r="AH8" i="9"/>
  <c r="AI8" i="9"/>
  <c r="AJ8" i="9"/>
  <c r="AK8" i="9"/>
  <c r="AL8" i="9"/>
  <c r="AM8" i="9"/>
  <c r="AN8" i="9"/>
  <c r="AO8" i="9"/>
  <c r="AP8" i="9"/>
  <c r="AF9" i="9"/>
  <c r="AG9" i="9"/>
  <c r="AH9" i="9"/>
  <c r="AI9" i="9"/>
  <c r="AJ9" i="9"/>
  <c r="AK9" i="9"/>
  <c r="AL9" i="9"/>
  <c r="AM9" i="9"/>
  <c r="AN9" i="9"/>
  <c r="AO9" i="9"/>
  <c r="AP9" i="9"/>
  <c r="AF10" i="9"/>
  <c r="AG10" i="9"/>
  <c r="AH10" i="9"/>
  <c r="AI10" i="9"/>
  <c r="AJ10" i="9"/>
  <c r="AK10" i="9"/>
  <c r="AL10" i="9"/>
  <c r="AM10" i="9"/>
  <c r="AN10" i="9"/>
  <c r="AO10" i="9"/>
  <c r="AP10" i="9"/>
  <c r="AF11" i="9"/>
  <c r="AG11" i="9"/>
  <c r="AH11" i="9"/>
  <c r="AI11" i="9"/>
  <c r="AJ11" i="9"/>
  <c r="AK11" i="9"/>
  <c r="AL11" i="9"/>
  <c r="AM11" i="9"/>
  <c r="AN11" i="9"/>
  <c r="AO11" i="9"/>
  <c r="AP11" i="9"/>
  <c r="AF12" i="9"/>
  <c r="AG12" i="9"/>
  <c r="AH12" i="9"/>
  <c r="AI12" i="9"/>
  <c r="AJ12" i="9"/>
  <c r="AK12" i="9"/>
  <c r="AL12" i="9"/>
  <c r="AM12" i="9"/>
  <c r="AN12" i="9"/>
  <c r="AO12" i="9"/>
  <c r="AP12" i="9"/>
  <c r="AF13" i="9"/>
  <c r="AG13" i="9"/>
  <c r="AH13" i="9"/>
  <c r="AI13" i="9"/>
  <c r="AJ13" i="9"/>
  <c r="AK13" i="9"/>
  <c r="AL13" i="9"/>
  <c r="AM13" i="9"/>
  <c r="AN13" i="9"/>
  <c r="AO13" i="9"/>
  <c r="AP13" i="9"/>
  <c r="AF15" i="9"/>
  <c r="AG15" i="9"/>
  <c r="AH15" i="9"/>
  <c r="AI15" i="9"/>
  <c r="AJ15" i="9"/>
  <c r="AK15" i="9"/>
  <c r="AL15" i="9"/>
  <c r="AM15" i="9"/>
  <c r="AN15" i="9"/>
  <c r="AO15" i="9"/>
  <c r="AP15" i="9"/>
  <c r="AF17" i="9"/>
  <c r="AG17" i="9"/>
  <c r="AH17" i="9"/>
  <c r="AI17" i="9"/>
  <c r="AJ17" i="9"/>
  <c r="AK17" i="9"/>
  <c r="AL17" i="9"/>
  <c r="AM17" i="9"/>
  <c r="AN17" i="9"/>
  <c r="AO17" i="9"/>
  <c r="AP17" i="9"/>
  <c r="AF18" i="9"/>
  <c r="AG18" i="9"/>
  <c r="AH18" i="9"/>
  <c r="AI18" i="9"/>
  <c r="AJ18" i="9"/>
  <c r="AK18" i="9"/>
  <c r="AL18" i="9"/>
  <c r="AM18" i="9"/>
  <c r="AN18" i="9"/>
  <c r="AO18" i="9"/>
  <c r="AP18" i="9"/>
  <c r="AF19" i="9"/>
  <c r="AG19" i="9"/>
  <c r="AH19" i="9"/>
  <c r="AI19" i="9"/>
  <c r="AJ19" i="9"/>
  <c r="AK19" i="9"/>
  <c r="AL19" i="9"/>
  <c r="AM19" i="9"/>
  <c r="AN19" i="9"/>
  <c r="AO19" i="9"/>
  <c r="AP19" i="9"/>
  <c r="AE9" i="9"/>
  <c r="AE10" i="9"/>
  <c r="AE11" i="9"/>
  <c r="AE12" i="9"/>
  <c r="AE13" i="9"/>
  <c r="AE15" i="9"/>
  <c r="AE17" i="9"/>
  <c r="AE18" i="9"/>
  <c r="AE19" i="9"/>
  <c r="AE8" i="9"/>
  <c r="AC30" i="3"/>
  <c r="AB30" i="3"/>
  <c r="AA30" i="3"/>
  <c r="Z30" i="3"/>
  <c r="Y30" i="3"/>
  <c r="X30" i="3"/>
  <c r="W30" i="3"/>
  <c r="V30" i="3"/>
  <c r="U30" i="3"/>
  <c r="T30" i="3"/>
  <c r="S30" i="3"/>
  <c r="R30" i="3"/>
  <c r="AC29" i="3"/>
  <c r="AB29" i="3"/>
  <c r="AA29" i="3"/>
  <c r="Z29" i="3"/>
  <c r="Y29" i="3"/>
  <c r="X29" i="3"/>
  <c r="W29" i="3"/>
  <c r="V29" i="3"/>
  <c r="U29" i="3"/>
  <c r="T29" i="3"/>
  <c r="S29" i="3"/>
  <c r="R29" i="3"/>
  <c r="AC28" i="3"/>
  <c r="AB28" i="3"/>
  <c r="AA28" i="3"/>
  <c r="Z28" i="3"/>
  <c r="Y28" i="3"/>
  <c r="X28" i="3"/>
  <c r="W28" i="3"/>
  <c r="V28" i="3"/>
  <c r="U28" i="3"/>
  <c r="T28" i="3"/>
  <c r="S28" i="3"/>
  <c r="R28" i="3"/>
  <c r="AC27" i="3"/>
  <c r="AB27" i="3"/>
  <c r="AA27" i="3"/>
  <c r="Z27" i="3"/>
  <c r="Y27" i="3"/>
  <c r="X27" i="3"/>
  <c r="W27" i="3"/>
  <c r="V27" i="3"/>
  <c r="U27" i="3"/>
  <c r="T27" i="3"/>
  <c r="S27" i="3"/>
  <c r="R27" i="3"/>
  <c r="AC26" i="3"/>
  <c r="AB26" i="3"/>
  <c r="AA26" i="3"/>
  <c r="Z26" i="3"/>
  <c r="Y26" i="3"/>
  <c r="X26" i="3"/>
  <c r="W26" i="3"/>
  <c r="V26" i="3"/>
  <c r="U26" i="3"/>
  <c r="T26" i="3"/>
  <c r="S26" i="3"/>
  <c r="R26" i="3"/>
  <c r="AC25" i="3"/>
  <c r="AB25" i="3"/>
  <c r="AA25" i="3"/>
  <c r="Z25" i="3"/>
  <c r="Y25" i="3"/>
  <c r="X25" i="3"/>
  <c r="W25" i="3"/>
  <c r="V25" i="3"/>
  <c r="U25" i="3"/>
  <c r="T25" i="3"/>
  <c r="S25" i="3"/>
  <c r="R25" i="3"/>
  <c r="AC24" i="3"/>
  <c r="AB24" i="3"/>
  <c r="AA24" i="3"/>
  <c r="Z24" i="3"/>
  <c r="Y24" i="3"/>
  <c r="X24" i="3"/>
  <c r="W24" i="3"/>
  <c r="V24" i="3"/>
  <c r="U24" i="3"/>
  <c r="T24" i="3"/>
  <c r="S24" i="3"/>
  <c r="R24" i="3"/>
  <c r="AC23" i="3"/>
  <c r="AB23" i="3"/>
  <c r="AA23" i="3"/>
  <c r="Z23" i="3"/>
  <c r="Y23" i="3"/>
  <c r="X23" i="3"/>
  <c r="W23" i="3"/>
  <c r="V23" i="3"/>
  <c r="U23" i="3"/>
  <c r="T23" i="3"/>
  <c r="S23" i="3"/>
  <c r="R23" i="3"/>
  <c r="AC22" i="3"/>
  <c r="AB22" i="3"/>
  <c r="AA22" i="3"/>
  <c r="Z22" i="3"/>
  <c r="Y22" i="3"/>
  <c r="X22" i="3"/>
  <c r="W22" i="3"/>
  <c r="V22" i="3"/>
  <c r="U22" i="3"/>
  <c r="T22" i="3"/>
  <c r="S22" i="3"/>
  <c r="R22" i="3"/>
  <c r="AC21" i="3"/>
  <c r="AB21" i="3"/>
  <c r="AA21" i="3"/>
  <c r="Z21" i="3"/>
  <c r="Y21" i="3"/>
  <c r="X21" i="3"/>
  <c r="W21" i="3"/>
  <c r="V21" i="3"/>
  <c r="U21" i="3"/>
  <c r="T21" i="3"/>
  <c r="S21" i="3"/>
  <c r="R21" i="3"/>
  <c r="AC20" i="3"/>
  <c r="AB20" i="3"/>
  <c r="AA20" i="3"/>
  <c r="Z20" i="3"/>
  <c r="Y20" i="3"/>
  <c r="X20" i="3"/>
  <c r="W20" i="3"/>
  <c r="V20" i="3"/>
  <c r="U20" i="3"/>
  <c r="T20" i="3"/>
  <c r="S20" i="3"/>
  <c r="R20" i="3"/>
  <c r="AC19" i="3"/>
  <c r="AB19" i="3"/>
  <c r="AA19" i="3"/>
  <c r="Z19" i="3"/>
  <c r="Y19" i="3"/>
  <c r="X19" i="3"/>
  <c r="W19" i="3"/>
  <c r="V19" i="3"/>
  <c r="U19" i="3"/>
  <c r="T19" i="3"/>
  <c r="S19" i="3"/>
  <c r="R19" i="3"/>
  <c r="AE25" i="3" s="1"/>
  <c r="AE25" i="2"/>
  <c r="R20" i="2"/>
  <c r="S20" i="2"/>
  <c r="T20" i="2"/>
  <c r="U20" i="2"/>
  <c r="V20" i="2"/>
  <c r="W20" i="2"/>
  <c r="X20" i="2"/>
  <c r="Y20" i="2"/>
  <c r="Z20" i="2"/>
  <c r="AA20" i="2"/>
  <c r="AB20" i="2"/>
  <c r="AC20" i="2"/>
  <c r="R21" i="2"/>
  <c r="S21" i="2"/>
  <c r="T21" i="2"/>
  <c r="U21" i="2"/>
  <c r="V21" i="2"/>
  <c r="W21" i="2"/>
  <c r="X21" i="2"/>
  <c r="Y21" i="2"/>
  <c r="Z21" i="2"/>
  <c r="AA21" i="2"/>
  <c r="AB21" i="2"/>
  <c r="AC21" i="2"/>
  <c r="R22" i="2"/>
  <c r="S22" i="2"/>
  <c r="T22" i="2"/>
  <c r="U22" i="2"/>
  <c r="V22" i="2"/>
  <c r="W22" i="2"/>
  <c r="X22" i="2"/>
  <c r="Y22" i="2"/>
  <c r="Z22" i="2"/>
  <c r="AA22" i="2"/>
  <c r="AB22" i="2"/>
  <c r="AC22" i="2"/>
  <c r="R23" i="2"/>
  <c r="S23" i="2"/>
  <c r="T23" i="2"/>
  <c r="U23" i="2"/>
  <c r="V23" i="2"/>
  <c r="W23" i="2"/>
  <c r="X23" i="2"/>
  <c r="Y23" i="2"/>
  <c r="Z23" i="2"/>
  <c r="AA23" i="2"/>
  <c r="AB23" i="2"/>
  <c r="AC23" i="2"/>
  <c r="R24" i="2"/>
  <c r="S24" i="2"/>
  <c r="T24" i="2"/>
  <c r="U24" i="2"/>
  <c r="V24" i="2"/>
  <c r="W24" i="2"/>
  <c r="X24" i="2"/>
  <c r="Y24" i="2"/>
  <c r="Z24" i="2"/>
  <c r="AA24" i="2"/>
  <c r="AB24" i="2"/>
  <c r="AC24" i="2"/>
  <c r="R25" i="2"/>
  <c r="S25" i="2"/>
  <c r="T25" i="2"/>
  <c r="U25" i="2"/>
  <c r="V25" i="2"/>
  <c r="W25" i="2"/>
  <c r="X25" i="2"/>
  <c r="Y25" i="2"/>
  <c r="Z25" i="2"/>
  <c r="AA25" i="2"/>
  <c r="AB25" i="2"/>
  <c r="AC25" i="2"/>
  <c r="R26" i="2"/>
  <c r="S26" i="2"/>
  <c r="T26" i="2"/>
  <c r="U26" i="2"/>
  <c r="V26" i="2"/>
  <c r="W26" i="2"/>
  <c r="X26" i="2"/>
  <c r="Y26" i="2"/>
  <c r="Z26" i="2"/>
  <c r="AA26" i="2"/>
  <c r="AB26" i="2"/>
  <c r="AC26" i="2"/>
  <c r="R27" i="2"/>
  <c r="S27" i="2"/>
  <c r="T27" i="2"/>
  <c r="U27" i="2"/>
  <c r="V27" i="2"/>
  <c r="W27" i="2"/>
  <c r="X27" i="2"/>
  <c r="Y27" i="2"/>
  <c r="Z27" i="2"/>
  <c r="AA27" i="2"/>
  <c r="AB27" i="2"/>
  <c r="AC27" i="2"/>
  <c r="R28" i="2"/>
  <c r="S28" i="2"/>
  <c r="T28" i="2"/>
  <c r="U28" i="2"/>
  <c r="V28" i="2"/>
  <c r="W28" i="2"/>
  <c r="X28" i="2"/>
  <c r="Y28" i="2"/>
  <c r="Z28" i="2"/>
  <c r="AA28" i="2"/>
  <c r="AB28" i="2"/>
  <c r="AC28" i="2"/>
  <c r="R29" i="2"/>
  <c r="S29" i="2"/>
  <c r="T29" i="2"/>
  <c r="U29" i="2"/>
  <c r="V29" i="2"/>
  <c r="W29" i="2"/>
  <c r="X29" i="2"/>
  <c r="Y29" i="2"/>
  <c r="Z29" i="2"/>
  <c r="AA29" i="2"/>
  <c r="AB29" i="2"/>
  <c r="AC29" i="2"/>
  <c r="R30" i="2"/>
  <c r="S30" i="2"/>
  <c r="T30" i="2"/>
  <c r="U30" i="2"/>
  <c r="V30" i="2"/>
  <c r="W30" i="2"/>
  <c r="X30" i="2"/>
  <c r="Y30" i="2"/>
  <c r="Z30" i="2"/>
  <c r="AA30" i="2"/>
  <c r="AB30" i="2"/>
  <c r="AC30" i="2"/>
  <c r="S19" i="2"/>
  <c r="T19" i="2"/>
  <c r="U19" i="2"/>
  <c r="V19" i="2"/>
  <c r="W19" i="2"/>
  <c r="X19" i="2"/>
  <c r="Y19" i="2"/>
  <c r="Z19" i="2"/>
  <c r="AA19" i="2"/>
  <c r="AB19" i="2"/>
  <c r="AC19" i="2"/>
  <c r="R19" i="2"/>
  <c r="C52" i="9"/>
  <c r="D52" i="9"/>
  <c r="E52" i="9"/>
  <c r="F52" i="9"/>
  <c r="G52" i="9"/>
  <c r="H52" i="9"/>
  <c r="I52" i="9"/>
  <c r="J52" i="9"/>
  <c r="K52" i="9"/>
  <c r="L52" i="9"/>
  <c r="M52" i="9"/>
  <c r="N52" i="9"/>
  <c r="C53" i="9"/>
  <c r="D53" i="9"/>
  <c r="E53" i="9"/>
  <c r="F53" i="9"/>
  <c r="G53" i="9"/>
  <c r="H53" i="9"/>
  <c r="I53" i="9"/>
  <c r="J53" i="9"/>
  <c r="K53" i="9"/>
  <c r="L53" i="9"/>
  <c r="M53" i="9"/>
  <c r="N53" i="9"/>
  <c r="C54" i="9"/>
  <c r="D54" i="9"/>
  <c r="E54" i="9"/>
  <c r="F54" i="9"/>
  <c r="G54" i="9"/>
  <c r="H54" i="9"/>
  <c r="I54" i="9"/>
  <c r="J54" i="9"/>
  <c r="K54" i="9"/>
  <c r="L54" i="9"/>
  <c r="M54" i="9"/>
  <c r="N54" i="9"/>
  <c r="C55" i="9"/>
  <c r="D55" i="9"/>
  <c r="E55" i="9"/>
  <c r="F55" i="9"/>
  <c r="G55" i="9"/>
  <c r="H55" i="9"/>
  <c r="I55" i="9"/>
  <c r="J55" i="9"/>
  <c r="K55" i="9"/>
  <c r="L55" i="9"/>
  <c r="M55" i="9"/>
  <c r="N55" i="9"/>
  <c r="C56" i="9"/>
  <c r="D56" i="9"/>
  <c r="E56" i="9"/>
  <c r="F56" i="9"/>
  <c r="G56" i="9"/>
  <c r="H56" i="9"/>
  <c r="I56" i="9"/>
  <c r="J56" i="9"/>
  <c r="K56" i="9"/>
  <c r="L56" i="9"/>
  <c r="M56" i="9"/>
  <c r="N56" i="9"/>
  <c r="C57" i="9"/>
  <c r="D57" i="9"/>
  <c r="E57" i="9"/>
  <c r="F57" i="9"/>
  <c r="G57" i="9"/>
  <c r="H57" i="9"/>
  <c r="I57" i="9"/>
  <c r="J57" i="9"/>
  <c r="K57" i="9"/>
  <c r="L57" i="9"/>
  <c r="M57" i="9"/>
  <c r="N57" i="9"/>
  <c r="C58" i="9"/>
  <c r="D58" i="9"/>
  <c r="E58" i="9"/>
  <c r="F58" i="9"/>
  <c r="G58" i="9"/>
  <c r="H58" i="9"/>
  <c r="I58" i="9"/>
  <c r="J58" i="9"/>
  <c r="K58" i="9"/>
  <c r="L58" i="9"/>
  <c r="M58" i="9"/>
  <c r="N58" i="9"/>
  <c r="C59" i="9"/>
  <c r="D59" i="9"/>
  <c r="E59" i="9"/>
  <c r="F59" i="9"/>
  <c r="G59" i="9"/>
  <c r="H59" i="9"/>
  <c r="I59" i="9"/>
  <c r="J59" i="9"/>
  <c r="K59" i="9"/>
  <c r="L59" i="9"/>
  <c r="M59" i="9"/>
  <c r="N59" i="9"/>
  <c r="C60" i="9"/>
  <c r="D60" i="9"/>
  <c r="E60" i="9"/>
  <c r="F60" i="9"/>
  <c r="G60" i="9"/>
  <c r="H60" i="9"/>
  <c r="I60" i="9"/>
  <c r="J60" i="9"/>
  <c r="K60" i="9"/>
  <c r="L60" i="9"/>
  <c r="M60" i="9"/>
  <c r="N60" i="9"/>
  <c r="D50" i="9"/>
  <c r="E50" i="9"/>
  <c r="F50" i="9"/>
  <c r="G50" i="9"/>
  <c r="H50" i="9"/>
  <c r="I50" i="9"/>
  <c r="J50" i="9"/>
  <c r="K50" i="9"/>
  <c r="L50" i="9"/>
  <c r="M50" i="9"/>
  <c r="N50" i="9"/>
  <c r="C50" i="9"/>
  <c r="C38" i="9"/>
  <c r="D38" i="9"/>
  <c r="E38" i="9"/>
  <c r="F38" i="9"/>
  <c r="G38" i="9"/>
  <c r="H38" i="9"/>
  <c r="I38" i="9"/>
  <c r="J38" i="9"/>
  <c r="K38" i="9"/>
  <c r="L38" i="9"/>
  <c r="M38" i="9"/>
  <c r="N38" i="9"/>
  <c r="C39" i="9"/>
  <c r="D39" i="9"/>
  <c r="E39" i="9"/>
  <c r="F39" i="9"/>
  <c r="G39" i="9"/>
  <c r="H39" i="9"/>
  <c r="I39" i="9"/>
  <c r="J39" i="9"/>
  <c r="K39" i="9"/>
  <c r="L39" i="9"/>
  <c r="M39" i="9"/>
  <c r="N39" i="9"/>
  <c r="C40" i="9"/>
  <c r="D40" i="9"/>
  <c r="E40" i="9"/>
  <c r="F40" i="9"/>
  <c r="G40" i="9"/>
  <c r="H40" i="9"/>
  <c r="I40" i="9"/>
  <c r="J40" i="9"/>
  <c r="K40" i="9"/>
  <c r="L40" i="9"/>
  <c r="M40" i="9"/>
  <c r="N40" i="9"/>
  <c r="C41" i="9"/>
  <c r="D41" i="9"/>
  <c r="E41" i="9"/>
  <c r="F41" i="9"/>
  <c r="G41" i="9"/>
  <c r="H41" i="9"/>
  <c r="I41" i="9"/>
  <c r="J41" i="9"/>
  <c r="K41" i="9"/>
  <c r="L41" i="9"/>
  <c r="M41" i="9"/>
  <c r="N41" i="9"/>
  <c r="C42" i="9"/>
  <c r="D42" i="9"/>
  <c r="E42" i="9"/>
  <c r="F42" i="9"/>
  <c r="G42" i="9"/>
  <c r="H42" i="9"/>
  <c r="I42" i="9"/>
  <c r="J42" i="9"/>
  <c r="K42" i="9"/>
  <c r="L42" i="9"/>
  <c r="M42" i="9"/>
  <c r="N42" i="9"/>
  <c r="C43" i="9"/>
  <c r="D43" i="9"/>
  <c r="E43" i="9"/>
  <c r="F43" i="9"/>
  <c r="G43" i="9"/>
  <c r="H43" i="9"/>
  <c r="I43" i="9"/>
  <c r="J43" i="9"/>
  <c r="K43" i="9"/>
  <c r="L43" i="9"/>
  <c r="M43" i="9"/>
  <c r="N43" i="9"/>
  <c r="C44" i="9"/>
  <c r="D44" i="9"/>
  <c r="F44" i="9"/>
  <c r="G44" i="9"/>
  <c r="H44" i="9"/>
  <c r="I44" i="9"/>
  <c r="J44" i="9"/>
  <c r="K44" i="9"/>
  <c r="L44" i="9"/>
  <c r="M44" i="9"/>
  <c r="N44" i="9"/>
  <c r="C45" i="9"/>
  <c r="D45" i="9"/>
  <c r="E45" i="9"/>
  <c r="F45" i="9"/>
  <c r="G45" i="9"/>
  <c r="H45" i="9"/>
  <c r="I45" i="9"/>
  <c r="J45" i="9"/>
  <c r="K45" i="9"/>
  <c r="L45" i="9"/>
  <c r="M45" i="9"/>
  <c r="N45" i="9"/>
  <c r="C46" i="9"/>
  <c r="D46" i="9"/>
  <c r="E46" i="9"/>
  <c r="F46" i="9"/>
  <c r="G46" i="9"/>
  <c r="H46" i="9"/>
  <c r="I46" i="9"/>
  <c r="J46" i="9"/>
  <c r="K46" i="9"/>
  <c r="L46" i="9"/>
  <c r="M46" i="9"/>
  <c r="N46" i="9"/>
  <c r="D36" i="9"/>
  <c r="E36" i="9"/>
  <c r="F36" i="9"/>
  <c r="G36" i="9"/>
  <c r="H36" i="9"/>
  <c r="I36" i="9"/>
  <c r="J36" i="9"/>
  <c r="K36" i="9"/>
  <c r="L36" i="9"/>
  <c r="M36" i="9"/>
  <c r="N36" i="9"/>
  <c r="C36" i="9"/>
  <c r="R22" i="9"/>
  <c r="S22" i="9"/>
  <c r="T22" i="9"/>
  <c r="U22" i="9"/>
  <c r="V22" i="9"/>
  <c r="W22" i="9"/>
  <c r="X22" i="9"/>
  <c r="Y22" i="9"/>
  <c r="Z22" i="9"/>
  <c r="AA22" i="9"/>
  <c r="AB22" i="9"/>
  <c r="R24" i="9"/>
  <c r="S24" i="9"/>
  <c r="T24" i="9"/>
  <c r="U24" i="9"/>
  <c r="V24" i="9"/>
  <c r="W24" i="9"/>
  <c r="X24" i="9"/>
  <c r="Y24" i="9"/>
  <c r="Z24" i="9"/>
  <c r="AA24" i="9"/>
  <c r="AB24" i="9"/>
  <c r="R25" i="9"/>
  <c r="S25" i="9"/>
  <c r="T25" i="9"/>
  <c r="U25" i="9"/>
  <c r="V25" i="9"/>
  <c r="W25" i="9"/>
  <c r="X25" i="9"/>
  <c r="Y25" i="9"/>
  <c r="Z25" i="9"/>
  <c r="AA25" i="9"/>
  <c r="AB25" i="9"/>
  <c r="R26" i="9"/>
  <c r="S26" i="9"/>
  <c r="T26" i="9"/>
  <c r="U26" i="9"/>
  <c r="V26" i="9"/>
  <c r="W26" i="9"/>
  <c r="X26" i="9"/>
  <c r="Y26" i="9"/>
  <c r="Z26" i="9"/>
  <c r="AA26" i="9"/>
  <c r="AB26" i="9"/>
  <c r="R27" i="9"/>
  <c r="S27" i="9"/>
  <c r="T27" i="9"/>
  <c r="U27" i="9"/>
  <c r="V27" i="9"/>
  <c r="W27" i="9"/>
  <c r="X27" i="9"/>
  <c r="Y27" i="9"/>
  <c r="Z27" i="9"/>
  <c r="AA27" i="9"/>
  <c r="AB27" i="9"/>
  <c r="R28" i="9"/>
  <c r="S28" i="9"/>
  <c r="T28" i="9"/>
  <c r="U28" i="9"/>
  <c r="V28" i="9"/>
  <c r="W28" i="9"/>
  <c r="X28" i="9"/>
  <c r="Y28" i="9"/>
  <c r="Z28" i="9"/>
  <c r="AA28" i="9"/>
  <c r="AB28" i="9"/>
  <c r="R29" i="9"/>
  <c r="S29" i="9"/>
  <c r="T29" i="9"/>
  <c r="U29" i="9"/>
  <c r="V29" i="9"/>
  <c r="W29" i="9"/>
  <c r="X29" i="9"/>
  <c r="Y29" i="9"/>
  <c r="Z29" i="9"/>
  <c r="AA29" i="9"/>
  <c r="AB29" i="9"/>
  <c r="R30" i="9"/>
  <c r="S30" i="9"/>
  <c r="T30" i="9"/>
  <c r="U30" i="9"/>
  <c r="V30" i="9"/>
  <c r="W30" i="9"/>
  <c r="X30" i="9"/>
  <c r="Y30" i="9"/>
  <c r="Z30" i="9"/>
  <c r="AA30" i="9"/>
  <c r="AB30" i="9"/>
  <c r="R31" i="9"/>
  <c r="S31" i="9"/>
  <c r="T31" i="9"/>
  <c r="U31" i="9"/>
  <c r="V31" i="9"/>
  <c r="W31" i="9"/>
  <c r="X31" i="9"/>
  <c r="Y31" i="9"/>
  <c r="Z31" i="9"/>
  <c r="AA31" i="9"/>
  <c r="AB31" i="9"/>
  <c r="R32" i="9"/>
  <c r="S32" i="9"/>
  <c r="T32" i="9"/>
  <c r="U32" i="9"/>
  <c r="V32" i="9"/>
  <c r="W32" i="9"/>
  <c r="X32" i="9"/>
  <c r="Y32" i="9"/>
  <c r="Z32" i="9"/>
  <c r="AA32" i="9"/>
  <c r="AB32" i="9"/>
  <c r="Q24" i="9"/>
  <c r="Q25" i="9"/>
  <c r="Q26" i="9"/>
  <c r="Q27" i="9"/>
  <c r="Q28" i="9"/>
  <c r="Q29" i="9"/>
  <c r="Q30" i="9"/>
  <c r="Q31" i="9"/>
  <c r="Q32" i="9"/>
  <c r="Q22" i="9"/>
  <c r="Q10" i="9"/>
  <c r="R10" i="9"/>
  <c r="S10" i="9"/>
  <c r="T10" i="9"/>
  <c r="U10" i="9"/>
  <c r="V10" i="9"/>
  <c r="W10" i="9"/>
  <c r="X10" i="9"/>
  <c r="Y10" i="9"/>
  <c r="Z10" i="9"/>
  <c r="AA10" i="9"/>
  <c r="AB10" i="9"/>
  <c r="Q11" i="9"/>
  <c r="R11" i="9"/>
  <c r="S11" i="9"/>
  <c r="T11" i="9"/>
  <c r="U11" i="9"/>
  <c r="V11" i="9"/>
  <c r="W11" i="9"/>
  <c r="X11" i="9"/>
  <c r="Y11" i="9"/>
  <c r="Z11" i="9"/>
  <c r="AA11" i="9"/>
  <c r="AB11" i="9"/>
  <c r="Q12" i="9"/>
  <c r="R12" i="9"/>
  <c r="S12" i="9"/>
  <c r="T12" i="9"/>
  <c r="U12" i="9"/>
  <c r="V12" i="9"/>
  <c r="W12" i="9"/>
  <c r="X12" i="9"/>
  <c r="Y12" i="9"/>
  <c r="Z12" i="9"/>
  <c r="AA12" i="9"/>
  <c r="AB12" i="9"/>
  <c r="Q13" i="9"/>
  <c r="R13" i="9"/>
  <c r="S13" i="9"/>
  <c r="T13" i="9"/>
  <c r="U13" i="9"/>
  <c r="V13" i="9"/>
  <c r="W13" i="9"/>
  <c r="X13" i="9"/>
  <c r="Y13" i="9"/>
  <c r="Z13" i="9"/>
  <c r="AA13" i="9"/>
  <c r="AB13" i="9"/>
  <c r="Q14" i="9"/>
  <c r="R14" i="9"/>
  <c r="S14" i="9"/>
  <c r="T14" i="9"/>
  <c r="U14" i="9"/>
  <c r="V14" i="9"/>
  <c r="W14" i="9"/>
  <c r="X14" i="9"/>
  <c r="Y14" i="9"/>
  <c r="Z14" i="9"/>
  <c r="AA14" i="9"/>
  <c r="AB14" i="9"/>
  <c r="Q15" i="9"/>
  <c r="R15" i="9"/>
  <c r="S15" i="9"/>
  <c r="T15" i="9"/>
  <c r="U15" i="9"/>
  <c r="V15" i="9"/>
  <c r="W15" i="9"/>
  <c r="X15" i="9"/>
  <c r="Y15" i="9"/>
  <c r="Z15" i="9"/>
  <c r="AA15" i="9"/>
  <c r="AB15" i="9"/>
  <c r="Q16" i="9"/>
  <c r="R16" i="9"/>
  <c r="S16" i="9"/>
  <c r="T16" i="9"/>
  <c r="U16" i="9"/>
  <c r="V16" i="9"/>
  <c r="W16" i="9"/>
  <c r="X16" i="9"/>
  <c r="Y16" i="9"/>
  <c r="Z16" i="9"/>
  <c r="AA16" i="9"/>
  <c r="AB16" i="9"/>
  <c r="Q17" i="9"/>
  <c r="R17" i="9"/>
  <c r="S17" i="9"/>
  <c r="T17" i="9"/>
  <c r="U17" i="9"/>
  <c r="V17" i="9"/>
  <c r="W17" i="9"/>
  <c r="X17" i="9"/>
  <c r="Y17" i="9"/>
  <c r="Z17" i="9"/>
  <c r="AA17" i="9"/>
  <c r="AB17" i="9"/>
  <c r="Q18" i="9"/>
  <c r="R18" i="9"/>
  <c r="S18" i="9"/>
  <c r="T18" i="9"/>
  <c r="U18" i="9"/>
  <c r="V18" i="9"/>
  <c r="W18" i="9"/>
  <c r="X18" i="9"/>
  <c r="Y18" i="9"/>
  <c r="Z18" i="9"/>
  <c r="AA18" i="9"/>
  <c r="AB18" i="9"/>
  <c r="R8" i="9"/>
  <c r="S8" i="9"/>
  <c r="T8" i="9"/>
  <c r="U8" i="9"/>
  <c r="V8" i="9"/>
  <c r="W8" i="9"/>
  <c r="X8" i="9"/>
  <c r="Y8" i="9"/>
  <c r="Z8" i="9"/>
  <c r="AA8" i="9"/>
  <c r="AB8" i="9"/>
  <c r="Q8" i="9"/>
  <c r="C10" i="9"/>
  <c r="D10" i="9"/>
  <c r="E10" i="9"/>
  <c r="F10" i="9"/>
  <c r="G10" i="9"/>
  <c r="H10" i="9"/>
  <c r="I10" i="9"/>
  <c r="J10" i="9"/>
  <c r="K10" i="9"/>
  <c r="L10" i="9"/>
  <c r="M10" i="9"/>
  <c r="N10" i="9"/>
  <c r="C11" i="9"/>
  <c r="D11" i="9"/>
  <c r="E11" i="9"/>
  <c r="F11" i="9"/>
  <c r="G11" i="9"/>
  <c r="H11" i="9"/>
  <c r="I11" i="9"/>
  <c r="J11" i="9"/>
  <c r="K11" i="9"/>
  <c r="L11" i="9"/>
  <c r="M11" i="9"/>
  <c r="N11" i="9"/>
  <c r="C12" i="9"/>
  <c r="D12" i="9"/>
  <c r="E12" i="9"/>
  <c r="F12" i="9"/>
  <c r="G12" i="9"/>
  <c r="H12" i="9"/>
  <c r="I12" i="9"/>
  <c r="J12" i="9"/>
  <c r="K12" i="9"/>
  <c r="L12" i="9"/>
  <c r="M12" i="9"/>
  <c r="N12" i="9"/>
  <c r="C13" i="9"/>
  <c r="D13" i="9"/>
  <c r="E13" i="9"/>
  <c r="F13" i="9"/>
  <c r="G13" i="9"/>
  <c r="H13" i="9"/>
  <c r="I13" i="9"/>
  <c r="J13" i="9"/>
  <c r="K13" i="9"/>
  <c r="L13" i="9"/>
  <c r="M13" i="9"/>
  <c r="N13" i="9"/>
  <c r="C14" i="9"/>
  <c r="D14" i="9"/>
  <c r="E14" i="9"/>
  <c r="F14" i="9"/>
  <c r="G14" i="9"/>
  <c r="H14" i="9"/>
  <c r="I14" i="9"/>
  <c r="J14" i="9"/>
  <c r="K14" i="9"/>
  <c r="L14" i="9"/>
  <c r="M14" i="9"/>
  <c r="N14" i="9"/>
  <c r="C15" i="9"/>
  <c r="D15" i="9"/>
  <c r="E15" i="9"/>
  <c r="F15" i="9"/>
  <c r="G15" i="9"/>
  <c r="H15" i="9"/>
  <c r="I15" i="9"/>
  <c r="J15" i="9"/>
  <c r="K15" i="9"/>
  <c r="L15" i="9"/>
  <c r="M15" i="9"/>
  <c r="N15" i="9"/>
  <c r="C16" i="9"/>
  <c r="D16" i="9"/>
  <c r="E16" i="9"/>
  <c r="F16" i="9"/>
  <c r="G16" i="9"/>
  <c r="H16" i="9"/>
  <c r="I16" i="9"/>
  <c r="J16" i="9"/>
  <c r="K16" i="9"/>
  <c r="L16" i="9"/>
  <c r="M16" i="9"/>
  <c r="N16" i="9"/>
  <c r="C17" i="9"/>
  <c r="D17" i="9"/>
  <c r="E17" i="9"/>
  <c r="F17" i="9"/>
  <c r="G17" i="9"/>
  <c r="H17" i="9"/>
  <c r="I17" i="9"/>
  <c r="J17" i="9"/>
  <c r="K17" i="9"/>
  <c r="L17" i="9"/>
  <c r="M17" i="9"/>
  <c r="N17" i="9"/>
  <c r="C18" i="9"/>
  <c r="D18" i="9"/>
  <c r="E18" i="9"/>
  <c r="F18" i="9"/>
  <c r="G18" i="9"/>
  <c r="H18" i="9"/>
  <c r="I18" i="9"/>
  <c r="J18" i="9"/>
  <c r="K18" i="9"/>
  <c r="L18" i="9"/>
  <c r="M18" i="9"/>
  <c r="N18" i="9"/>
  <c r="D8" i="9"/>
  <c r="E8" i="9"/>
  <c r="F8" i="9"/>
  <c r="G8" i="9"/>
  <c r="H8" i="9"/>
  <c r="I8" i="9"/>
  <c r="J8" i="9"/>
  <c r="K8" i="9"/>
  <c r="L8" i="9"/>
  <c r="M8" i="9"/>
  <c r="N8" i="9"/>
  <c r="C8" i="9"/>
  <c r="M30" i="2"/>
  <c r="L30" i="2"/>
  <c r="K30" i="2"/>
  <c r="J30" i="2"/>
  <c r="I30" i="2"/>
  <c r="H30" i="2"/>
  <c r="G30" i="2"/>
  <c r="F30" i="2"/>
  <c r="E30" i="2"/>
  <c r="D30" i="2"/>
  <c r="C30" i="2"/>
  <c r="B30" i="2"/>
  <c r="M29" i="2"/>
  <c r="L29" i="2"/>
  <c r="K29" i="2"/>
  <c r="J29" i="2"/>
  <c r="I29" i="2"/>
  <c r="H29" i="2"/>
  <c r="G29" i="2"/>
  <c r="F29" i="2"/>
  <c r="E29" i="2"/>
  <c r="D29" i="2"/>
  <c r="C29" i="2"/>
  <c r="B29" i="2"/>
  <c r="M28" i="2"/>
  <c r="L28" i="2"/>
  <c r="K28" i="2"/>
  <c r="J28" i="2"/>
  <c r="I28" i="2"/>
  <c r="H28" i="2"/>
  <c r="G28" i="2"/>
  <c r="F28" i="2"/>
  <c r="E28" i="2"/>
  <c r="D28" i="2"/>
  <c r="C28" i="2"/>
  <c r="B28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M22" i="2"/>
  <c r="L22" i="2"/>
  <c r="K22" i="2"/>
  <c r="J22" i="2"/>
  <c r="I22" i="2"/>
  <c r="H22" i="2"/>
  <c r="G22" i="2"/>
  <c r="F22" i="2"/>
  <c r="E22" i="2"/>
  <c r="D22" i="2"/>
  <c r="C22" i="2"/>
  <c r="B22" i="2"/>
  <c r="M21" i="2"/>
  <c r="L21" i="2"/>
  <c r="K21" i="2"/>
  <c r="J21" i="2"/>
  <c r="I21" i="2"/>
  <c r="H21" i="2"/>
  <c r="G21" i="2"/>
  <c r="F21" i="2"/>
  <c r="E21" i="2"/>
  <c r="D21" i="2"/>
  <c r="C21" i="2"/>
  <c r="B21" i="2"/>
  <c r="M20" i="2"/>
  <c r="L20" i="2"/>
  <c r="K20" i="2"/>
  <c r="J20" i="2"/>
  <c r="I20" i="2"/>
  <c r="H20" i="2"/>
  <c r="G20" i="2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M30" i="3"/>
  <c r="L30" i="3"/>
  <c r="K30" i="3"/>
  <c r="J30" i="3"/>
  <c r="I30" i="3"/>
  <c r="H30" i="3"/>
  <c r="G30" i="3"/>
  <c r="F30" i="3"/>
  <c r="E30" i="3"/>
  <c r="D30" i="3"/>
  <c r="C30" i="3"/>
  <c r="B30" i="3"/>
  <c r="M29" i="3"/>
  <c r="L29" i="3"/>
  <c r="K29" i="3"/>
  <c r="J29" i="3"/>
  <c r="I29" i="3"/>
  <c r="H29" i="3"/>
  <c r="G29" i="3"/>
  <c r="F29" i="3"/>
  <c r="E29" i="3"/>
  <c r="D29" i="3"/>
  <c r="C29" i="3"/>
  <c r="B29" i="3"/>
  <c r="M28" i="3"/>
  <c r="L28" i="3"/>
  <c r="K28" i="3"/>
  <c r="J28" i="3"/>
  <c r="I28" i="3"/>
  <c r="H28" i="3"/>
  <c r="G28" i="3"/>
  <c r="F28" i="3"/>
  <c r="E28" i="3"/>
  <c r="D28" i="3"/>
  <c r="C28" i="3"/>
  <c r="B28" i="3"/>
  <c r="M27" i="3"/>
  <c r="L27" i="3"/>
  <c r="K27" i="3"/>
  <c r="J27" i="3"/>
  <c r="I27" i="3"/>
  <c r="H27" i="3"/>
  <c r="G27" i="3"/>
  <c r="F27" i="3"/>
  <c r="E27" i="3"/>
  <c r="D27" i="3"/>
  <c r="C27" i="3"/>
  <c r="B27" i="3"/>
  <c r="M26" i="3"/>
  <c r="L26" i="3"/>
  <c r="K26" i="3"/>
  <c r="J26" i="3"/>
  <c r="I26" i="3"/>
  <c r="H26" i="3"/>
  <c r="G26" i="3"/>
  <c r="F26" i="3"/>
  <c r="E26" i="3"/>
  <c r="D26" i="3"/>
  <c r="C26" i="3"/>
  <c r="B26" i="3"/>
  <c r="M25" i="3"/>
  <c r="L25" i="3"/>
  <c r="K25" i="3"/>
  <c r="J25" i="3"/>
  <c r="I25" i="3"/>
  <c r="H25" i="3"/>
  <c r="G25" i="3"/>
  <c r="F25" i="3"/>
  <c r="E25" i="3"/>
  <c r="D25" i="3"/>
  <c r="C25" i="3"/>
  <c r="B25" i="3"/>
  <c r="M24" i="3"/>
  <c r="L24" i="3"/>
  <c r="K24" i="3"/>
  <c r="J24" i="3"/>
  <c r="I24" i="3"/>
  <c r="H24" i="3"/>
  <c r="G24" i="3"/>
  <c r="F24" i="3"/>
  <c r="E24" i="3"/>
  <c r="D24" i="3"/>
  <c r="C24" i="3"/>
  <c r="B24" i="3"/>
  <c r="M23" i="3"/>
  <c r="L23" i="3"/>
  <c r="K23" i="3"/>
  <c r="J23" i="3"/>
  <c r="I23" i="3"/>
  <c r="H23" i="3"/>
  <c r="G23" i="3"/>
  <c r="F23" i="3"/>
  <c r="E23" i="3"/>
  <c r="D23" i="3"/>
  <c r="C23" i="3"/>
  <c r="B23" i="3"/>
  <c r="M22" i="3"/>
  <c r="L22" i="3"/>
  <c r="K22" i="3"/>
  <c r="J22" i="3"/>
  <c r="I22" i="3"/>
  <c r="H22" i="3"/>
  <c r="G22" i="3"/>
  <c r="F22" i="3"/>
  <c r="E22" i="3"/>
  <c r="D22" i="3"/>
  <c r="C22" i="3"/>
  <c r="B22" i="3"/>
  <c r="M21" i="3"/>
  <c r="L21" i="3"/>
  <c r="K21" i="3"/>
  <c r="J21" i="3"/>
  <c r="I21" i="3"/>
  <c r="H21" i="3"/>
  <c r="G21" i="3"/>
  <c r="F21" i="3"/>
  <c r="E21" i="3"/>
  <c r="D21" i="3"/>
  <c r="C21" i="3"/>
  <c r="B21" i="3"/>
  <c r="M20" i="3"/>
  <c r="L20" i="3"/>
  <c r="K20" i="3"/>
  <c r="J20" i="3"/>
  <c r="I20" i="3"/>
  <c r="H20" i="3"/>
  <c r="G20" i="3"/>
  <c r="F20" i="3"/>
  <c r="E20" i="3"/>
  <c r="D20" i="3"/>
  <c r="C20" i="3"/>
  <c r="B20" i="3"/>
  <c r="M19" i="3"/>
  <c r="L19" i="3"/>
  <c r="K19" i="3"/>
  <c r="J19" i="3"/>
  <c r="I19" i="3"/>
  <c r="H19" i="3"/>
  <c r="G19" i="3"/>
  <c r="F19" i="3"/>
  <c r="E19" i="3"/>
  <c r="D19" i="3"/>
  <c r="C19" i="3"/>
  <c r="B19" i="3"/>
  <c r="M30" i="4"/>
  <c r="L30" i="4"/>
  <c r="K30" i="4"/>
  <c r="J30" i="4"/>
  <c r="I30" i="4"/>
  <c r="H30" i="4"/>
  <c r="G30" i="4"/>
  <c r="F30" i="4"/>
  <c r="E30" i="4"/>
  <c r="D30" i="4"/>
  <c r="C30" i="4"/>
  <c r="B30" i="4"/>
  <c r="M29" i="4"/>
  <c r="L29" i="4"/>
  <c r="K29" i="4"/>
  <c r="J29" i="4"/>
  <c r="I29" i="4"/>
  <c r="H29" i="4"/>
  <c r="G29" i="4"/>
  <c r="F29" i="4"/>
  <c r="E29" i="4"/>
  <c r="D29" i="4"/>
  <c r="C29" i="4"/>
  <c r="B29" i="4"/>
  <c r="M28" i="4"/>
  <c r="L28" i="4"/>
  <c r="K28" i="4"/>
  <c r="J28" i="4"/>
  <c r="I28" i="4"/>
  <c r="H28" i="4"/>
  <c r="G28" i="4"/>
  <c r="F28" i="4"/>
  <c r="E28" i="4"/>
  <c r="D28" i="4"/>
  <c r="C28" i="4"/>
  <c r="B28" i="4"/>
  <c r="M27" i="4"/>
  <c r="L27" i="4"/>
  <c r="K27" i="4"/>
  <c r="J27" i="4"/>
  <c r="I27" i="4"/>
  <c r="H27" i="4"/>
  <c r="G27" i="4"/>
  <c r="F27" i="4"/>
  <c r="E27" i="4"/>
  <c r="D27" i="4"/>
  <c r="C27" i="4"/>
  <c r="B27" i="4"/>
  <c r="M26" i="4"/>
  <c r="L26" i="4"/>
  <c r="K26" i="4"/>
  <c r="J26" i="4"/>
  <c r="I26" i="4"/>
  <c r="H26" i="4"/>
  <c r="G26" i="4"/>
  <c r="F26" i="4"/>
  <c r="E26" i="4"/>
  <c r="D26" i="4"/>
  <c r="C26" i="4"/>
  <c r="B26" i="4"/>
  <c r="M25" i="4"/>
  <c r="L25" i="4"/>
  <c r="K25" i="4"/>
  <c r="J25" i="4"/>
  <c r="I25" i="4"/>
  <c r="H25" i="4"/>
  <c r="G25" i="4"/>
  <c r="F25" i="4"/>
  <c r="E25" i="4"/>
  <c r="D25" i="4"/>
  <c r="C25" i="4"/>
  <c r="B25" i="4"/>
  <c r="M24" i="4"/>
  <c r="L24" i="4"/>
  <c r="K24" i="4"/>
  <c r="J24" i="4"/>
  <c r="I24" i="4"/>
  <c r="H24" i="4"/>
  <c r="G24" i="4"/>
  <c r="F24" i="4"/>
  <c r="E24" i="4"/>
  <c r="D24" i="4"/>
  <c r="C24" i="4"/>
  <c r="B24" i="4"/>
  <c r="M23" i="4"/>
  <c r="L23" i="4"/>
  <c r="K23" i="4"/>
  <c r="J23" i="4"/>
  <c r="I23" i="4"/>
  <c r="H23" i="4"/>
  <c r="G23" i="4"/>
  <c r="F23" i="4"/>
  <c r="E23" i="4"/>
  <c r="D23" i="4"/>
  <c r="C23" i="4"/>
  <c r="B23" i="4"/>
  <c r="M22" i="4"/>
  <c r="L22" i="4"/>
  <c r="K22" i="4"/>
  <c r="J22" i="4"/>
  <c r="I22" i="4"/>
  <c r="H22" i="4"/>
  <c r="G22" i="4"/>
  <c r="F22" i="4"/>
  <c r="E22" i="4"/>
  <c r="D22" i="4"/>
  <c r="C22" i="4"/>
  <c r="B22" i="4"/>
  <c r="M21" i="4"/>
  <c r="L21" i="4"/>
  <c r="K21" i="4"/>
  <c r="J21" i="4"/>
  <c r="I21" i="4"/>
  <c r="H21" i="4"/>
  <c r="G21" i="4"/>
  <c r="F21" i="4"/>
  <c r="E21" i="4"/>
  <c r="D21" i="4"/>
  <c r="C21" i="4"/>
  <c r="B21" i="4"/>
  <c r="M20" i="4"/>
  <c r="L20" i="4"/>
  <c r="K20" i="4"/>
  <c r="J20" i="4"/>
  <c r="I20" i="4"/>
  <c r="H20" i="4"/>
  <c r="G20" i="4"/>
  <c r="F20" i="4"/>
  <c r="E20" i="4"/>
  <c r="D20" i="4"/>
  <c r="C20" i="4"/>
  <c r="B20" i="4"/>
  <c r="M19" i="4"/>
  <c r="L19" i="4"/>
  <c r="K19" i="4"/>
  <c r="J19" i="4"/>
  <c r="I19" i="4"/>
  <c r="H19" i="4"/>
  <c r="G19" i="4"/>
  <c r="F19" i="4"/>
  <c r="E19" i="4"/>
  <c r="D19" i="4"/>
  <c r="C19" i="4"/>
  <c r="B19" i="4"/>
  <c r="M30" i="1"/>
  <c r="L30" i="1"/>
  <c r="K30" i="1"/>
  <c r="J30" i="1"/>
  <c r="I30" i="1"/>
  <c r="H30" i="1"/>
  <c r="G30" i="1"/>
  <c r="F30" i="1"/>
  <c r="E30" i="1"/>
  <c r="D30" i="1"/>
  <c r="C30" i="1"/>
  <c r="B30" i="1"/>
  <c r="M29" i="1"/>
  <c r="L29" i="1"/>
  <c r="K29" i="1"/>
  <c r="J29" i="1"/>
  <c r="I29" i="1"/>
  <c r="H29" i="1"/>
  <c r="G29" i="1"/>
  <c r="F29" i="1"/>
  <c r="E29" i="1"/>
  <c r="D29" i="1"/>
  <c r="C29" i="1"/>
  <c r="B29" i="1"/>
  <c r="M28" i="1"/>
  <c r="L28" i="1"/>
  <c r="K28" i="1"/>
  <c r="J28" i="1"/>
  <c r="I28" i="1"/>
  <c r="H28" i="1"/>
  <c r="G28" i="1"/>
  <c r="F28" i="1"/>
  <c r="E28" i="1"/>
  <c r="D28" i="1"/>
  <c r="C28" i="1"/>
  <c r="B28" i="1"/>
  <c r="M27" i="1"/>
  <c r="L27" i="1"/>
  <c r="K27" i="1"/>
  <c r="J27" i="1"/>
  <c r="I27" i="1"/>
  <c r="H27" i="1"/>
  <c r="G27" i="1"/>
  <c r="F27" i="1"/>
  <c r="E27" i="1"/>
  <c r="D27" i="1"/>
  <c r="C27" i="1"/>
  <c r="B27" i="1"/>
  <c r="M26" i="1"/>
  <c r="L26" i="1"/>
  <c r="K26" i="1"/>
  <c r="J26" i="1"/>
  <c r="I26" i="1"/>
  <c r="H26" i="1"/>
  <c r="G26" i="1"/>
  <c r="F26" i="1"/>
  <c r="E26" i="1"/>
  <c r="D26" i="1"/>
  <c r="C26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K21" i="1"/>
  <c r="J21" i="1"/>
  <c r="I21" i="1"/>
  <c r="H21" i="1"/>
  <c r="G21" i="1"/>
  <c r="F21" i="1"/>
  <c r="E21" i="1"/>
  <c r="D21" i="1"/>
  <c r="C21" i="1"/>
  <c r="B21" i="1"/>
  <c r="M20" i="1"/>
  <c r="L20" i="1"/>
  <c r="K20" i="1"/>
  <c r="J20" i="1"/>
  <c r="I20" i="1"/>
  <c r="H20" i="1"/>
  <c r="G20" i="1"/>
  <c r="F20" i="1"/>
  <c r="E20" i="1"/>
  <c r="D20" i="1"/>
  <c r="C20" i="1"/>
  <c r="B20" i="1"/>
  <c r="M19" i="1"/>
  <c r="L19" i="1"/>
  <c r="K19" i="1"/>
  <c r="J19" i="1"/>
  <c r="I19" i="1"/>
  <c r="H19" i="1"/>
  <c r="G19" i="1"/>
  <c r="F19" i="1"/>
  <c r="E19" i="1"/>
  <c r="D19" i="1"/>
  <c r="C19" i="1"/>
  <c r="B19" i="1"/>
  <c r="M30" i="5"/>
  <c r="L30" i="5"/>
  <c r="K30" i="5"/>
  <c r="J30" i="5"/>
  <c r="I30" i="5"/>
  <c r="H30" i="5"/>
  <c r="G30" i="5"/>
  <c r="F30" i="5"/>
  <c r="E30" i="5"/>
  <c r="D30" i="5"/>
  <c r="C30" i="5"/>
  <c r="B30" i="5"/>
  <c r="M29" i="5"/>
  <c r="L29" i="5"/>
  <c r="K29" i="5"/>
  <c r="J29" i="5"/>
  <c r="I29" i="5"/>
  <c r="H29" i="5"/>
  <c r="G29" i="5"/>
  <c r="F29" i="5"/>
  <c r="E29" i="5"/>
  <c r="D29" i="5"/>
  <c r="C29" i="5"/>
  <c r="B29" i="5"/>
  <c r="M28" i="5"/>
  <c r="L28" i="5"/>
  <c r="K28" i="5"/>
  <c r="J28" i="5"/>
  <c r="I28" i="5"/>
  <c r="H28" i="5"/>
  <c r="G28" i="5"/>
  <c r="F28" i="5"/>
  <c r="E28" i="5"/>
  <c r="D28" i="5"/>
  <c r="C28" i="5"/>
  <c r="B28" i="5"/>
  <c r="M27" i="5"/>
  <c r="L27" i="5"/>
  <c r="K27" i="5"/>
  <c r="J27" i="5"/>
  <c r="I27" i="5"/>
  <c r="H27" i="5"/>
  <c r="G27" i="5"/>
  <c r="F27" i="5"/>
  <c r="E27" i="5"/>
  <c r="D27" i="5"/>
  <c r="C27" i="5"/>
  <c r="B27" i="5"/>
  <c r="M26" i="5"/>
  <c r="L26" i="5"/>
  <c r="K26" i="5"/>
  <c r="J26" i="5"/>
  <c r="I26" i="5"/>
  <c r="H26" i="5"/>
  <c r="G26" i="5"/>
  <c r="F26" i="5"/>
  <c r="E26" i="5"/>
  <c r="D26" i="5"/>
  <c r="C26" i="5"/>
  <c r="B26" i="5"/>
  <c r="M25" i="5"/>
  <c r="L25" i="5"/>
  <c r="K25" i="5"/>
  <c r="J25" i="5"/>
  <c r="I25" i="5"/>
  <c r="H25" i="5"/>
  <c r="G25" i="5"/>
  <c r="F25" i="5"/>
  <c r="E25" i="5"/>
  <c r="D25" i="5"/>
  <c r="C25" i="5"/>
  <c r="B25" i="5"/>
  <c r="M24" i="5"/>
  <c r="L24" i="5"/>
  <c r="K24" i="5"/>
  <c r="J24" i="5"/>
  <c r="I24" i="5"/>
  <c r="H24" i="5"/>
  <c r="G24" i="5"/>
  <c r="F24" i="5"/>
  <c r="E24" i="5"/>
  <c r="D24" i="5"/>
  <c r="C24" i="5"/>
  <c r="B24" i="5"/>
  <c r="M23" i="5"/>
  <c r="L23" i="5"/>
  <c r="K23" i="5"/>
  <c r="J23" i="5"/>
  <c r="I23" i="5"/>
  <c r="H23" i="5"/>
  <c r="G23" i="5"/>
  <c r="F23" i="5"/>
  <c r="E23" i="5"/>
  <c r="D23" i="5"/>
  <c r="C23" i="5"/>
  <c r="B23" i="5"/>
  <c r="M22" i="5"/>
  <c r="L22" i="5"/>
  <c r="K22" i="5"/>
  <c r="J22" i="5"/>
  <c r="I22" i="5"/>
  <c r="H22" i="5"/>
  <c r="G22" i="5"/>
  <c r="F22" i="5"/>
  <c r="E22" i="5"/>
  <c r="D22" i="5"/>
  <c r="C22" i="5"/>
  <c r="B22" i="5"/>
  <c r="M21" i="5"/>
  <c r="L21" i="5"/>
  <c r="K21" i="5"/>
  <c r="J21" i="5"/>
  <c r="I21" i="5"/>
  <c r="H21" i="5"/>
  <c r="G21" i="5"/>
  <c r="F21" i="5"/>
  <c r="E21" i="5"/>
  <c r="D21" i="5"/>
  <c r="C21" i="5"/>
  <c r="B21" i="5"/>
  <c r="M20" i="5"/>
  <c r="L20" i="5"/>
  <c r="K20" i="5"/>
  <c r="J20" i="5"/>
  <c r="I20" i="5"/>
  <c r="H20" i="5"/>
  <c r="G20" i="5"/>
  <c r="F20" i="5"/>
  <c r="E20" i="5"/>
  <c r="D20" i="5"/>
  <c r="C20" i="5"/>
  <c r="B20" i="5"/>
  <c r="M19" i="5"/>
  <c r="L19" i="5"/>
  <c r="K19" i="5"/>
  <c r="J19" i="5"/>
  <c r="I19" i="5"/>
  <c r="H19" i="5"/>
  <c r="G19" i="5"/>
  <c r="F19" i="5"/>
  <c r="E19" i="5"/>
  <c r="D19" i="5"/>
  <c r="C19" i="5"/>
  <c r="B19" i="5"/>
  <c r="M30" i="6"/>
  <c r="L30" i="6"/>
  <c r="K30" i="6"/>
  <c r="J30" i="6"/>
  <c r="I30" i="6"/>
  <c r="H30" i="6"/>
  <c r="G30" i="6"/>
  <c r="F30" i="6"/>
  <c r="E30" i="6"/>
  <c r="D30" i="6"/>
  <c r="C30" i="6"/>
  <c r="B30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M25" i="6"/>
  <c r="L25" i="6"/>
  <c r="K25" i="6"/>
  <c r="J25" i="6"/>
  <c r="I25" i="6"/>
  <c r="H25" i="6"/>
  <c r="G25" i="6"/>
  <c r="F25" i="6"/>
  <c r="E25" i="6"/>
  <c r="D25" i="6"/>
  <c r="C25" i="6"/>
  <c r="B25" i="6"/>
  <c r="M24" i="6"/>
  <c r="L24" i="6"/>
  <c r="K24" i="6"/>
  <c r="J24" i="6"/>
  <c r="I24" i="6"/>
  <c r="H24" i="6"/>
  <c r="G24" i="6"/>
  <c r="F24" i="6"/>
  <c r="E24" i="6"/>
  <c r="D24" i="6"/>
  <c r="C24" i="6"/>
  <c r="B24" i="6"/>
  <c r="M23" i="6"/>
  <c r="L23" i="6"/>
  <c r="K23" i="6"/>
  <c r="J23" i="6"/>
  <c r="I23" i="6"/>
  <c r="H23" i="6"/>
  <c r="G23" i="6"/>
  <c r="F23" i="6"/>
  <c r="E23" i="6"/>
  <c r="D23" i="6"/>
  <c r="C23" i="6"/>
  <c r="B23" i="6"/>
  <c r="M22" i="6"/>
  <c r="L22" i="6"/>
  <c r="K22" i="6"/>
  <c r="J22" i="6"/>
  <c r="I22" i="6"/>
  <c r="H22" i="6"/>
  <c r="G22" i="6"/>
  <c r="F22" i="6"/>
  <c r="E22" i="6"/>
  <c r="D22" i="6"/>
  <c r="C22" i="6"/>
  <c r="B22" i="6"/>
  <c r="M21" i="6"/>
  <c r="L21" i="6"/>
  <c r="K21" i="6"/>
  <c r="J21" i="6"/>
  <c r="I21" i="6"/>
  <c r="H21" i="6"/>
  <c r="G21" i="6"/>
  <c r="F21" i="6"/>
  <c r="E21" i="6"/>
  <c r="D21" i="6"/>
  <c r="C21" i="6"/>
  <c r="B21" i="6"/>
  <c r="M20" i="6"/>
  <c r="L20" i="6"/>
  <c r="K20" i="6"/>
  <c r="J20" i="6"/>
  <c r="I20" i="6"/>
  <c r="H20" i="6"/>
  <c r="G20" i="6"/>
  <c r="F20" i="6"/>
  <c r="E20" i="6"/>
  <c r="D20" i="6"/>
  <c r="C20" i="6"/>
  <c r="B20" i="6"/>
  <c r="M19" i="6"/>
  <c r="L19" i="6"/>
  <c r="K19" i="6"/>
  <c r="J19" i="6"/>
  <c r="I19" i="6"/>
  <c r="H19" i="6"/>
  <c r="G19" i="6"/>
  <c r="F19" i="6"/>
  <c r="E19" i="6"/>
  <c r="D19" i="6"/>
  <c r="C19" i="6"/>
  <c r="B19" i="6"/>
  <c r="M30" i="7"/>
  <c r="L30" i="7"/>
  <c r="K30" i="7"/>
  <c r="J30" i="7"/>
  <c r="I30" i="7"/>
  <c r="H30" i="7"/>
  <c r="G30" i="7"/>
  <c r="F30" i="7"/>
  <c r="E30" i="7"/>
  <c r="D30" i="7"/>
  <c r="C30" i="7"/>
  <c r="B30" i="7"/>
  <c r="M29" i="7"/>
  <c r="L29" i="7"/>
  <c r="K29" i="7"/>
  <c r="J29" i="7"/>
  <c r="I29" i="7"/>
  <c r="H29" i="7"/>
  <c r="G29" i="7"/>
  <c r="F29" i="7"/>
  <c r="E29" i="7"/>
  <c r="D29" i="7"/>
  <c r="C29" i="7"/>
  <c r="B29" i="7"/>
  <c r="M28" i="7"/>
  <c r="L28" i="7"/>
  <c r="K28" i="7"/>
  <c r="J28" i="7"/>
  <c r="I28" i="7"/>
  <c r="H28" i="7"/>
  <c r="G28" i="7"/>
  <c r="F28" i="7"/>
  <c r="E28" i="7"/>
  <c r="D28" i="7"/>
  <c r="C28" i="7"/>
  <c r="B28" i="7"/>
  <c r="M27" i="7"/>
  <c r="L27" i="7"/>
  <c r="K27" i="7"/>
  <c r="J27" i="7"/>
  <c r="I27" i="7"/>
  <c r="H27" i="7"/>
  <c r="G27" i="7"/>
  <c r="F27" i="7"/>
  <c r="E27" i="7"/>
  <c r="D27" i="7"/>
  <c r="C27" i="7"/>
  <c r="B27" i="7"/>
  <c r="M26" i="7"/>
  <c r="L26" i="7"/>
  <c r="K26" i="7"/>
  <c r="J26" i="7"/>
  <c r="I26" i="7"/>
  <c r="H26" i="7"/>
  <c r="G26" i="7"/>
  <c r="F26" i="7"/>
  <c r="E26" i="7"/>
  <c r="D26" i="7"/>
  <c r="C26" i="7"/>
  <c r="B26" i="7"/>
  <c r="M25" i="7"/>
  <c r="L25" i="7"/>
  <c r="K25" i="7"/>
  <c r="J25" i="7"/>
  <c r="I25" i="7"/>
  <c r="H25" i="7"/>
  <c r="G25" i="7"/>
  <c r="F25" i="7"/>
  <c r="E25" i="7"/>
  <c r="D25" i="7"/>
  <c r="C25" i="7"/>
  <c r="B25" i="7"/>
  <c r="M24" i="7"/>
  <c r="L24" i="7"/>
  <c r="K24" i="7"/>
  <c r="J24" i="7"/>
  <c r="I24" i="7"/>
  <c r="H24" i="7"/>
  <c r="G24" i="7"/>
  <c r="F24" i="7"/>
  <c r="E24" i="7"/>
  <c r="D24" i="7"/>
  <c r="C24" i="7"/>
  <c r="B24" i="7"/>
  <c r="M23" i="7"/>
  <c r="L23" i="7"/>
  <c r="K23" i="7"/>
  <c r="J23" i="7"/>
  <c r="I23" i="7"/>
  <c r="H23" i="7"/>
  <c r="G23" i="7"/>
  <c r="F23" i="7"/>
  <c r="E23" i="7"/>
  <c r="D23" i="7"/>
  <c r="C23" i="7"/>
  <c r="B23" i="7"/>
  <c r="M22" i="7"/>
  <c r="L22" i="7"/>
  <c r="K22" i="7"/>
  <c r="J22" i="7"/>
  <c r="I22" i="7"/>
  <c r="H22" i="7"/>
  <c r="G22" i="7"/>
  <c r="F22" i="7"/>
  <c r="E22" i="7"/>
  <c r="D22" i="7"/>
  <c r="C22" i="7"/>
  <c r="B22" i="7"/>
  <c r="M21" i="7"/>
  <c r="L21" i="7"/>
  <c r="K21" i="7"/>
  <c r="J21" i="7"/>
  <c r="I21" i="7"/>
  <c r="H21" i="7"/>
  <c r="G21" i="7"/>
  <c r="F21" i="7"/>
  <c r="E21" i="7"/>
  <c r="D21" i="7"/>
  <c r="C21" i="7"/>
  <c r="B21" i="7"/>
  <c r="M20" i="7"/>
  <c r="L20" i="7"/>
  <c r="K20" i="7"/>
  <c r="J20" i="7"/>
  <c r="I20" i="7"/>
  <c r="H20" i="7"/>
  <c r="G20" i="7"/>
  <c r="F20" i="7"/>
  <c r="E20" i="7"/>
  <c r="D20" i="7"/>
  <c r="C20" i="7"/>
  <c r="B20" i="7"/>
  <c r="M19" i="7"/>
  <c r="L19" i="7"/>
  <c r="K19" i="7"/>
  <c r="J19" i="7"/>
  <c r="I19" i="7"/>
  <c r="H19" i="7"/>
  <c r="G19" i="7"/>
  <c r="F19" i="7"/>
  <c r="E19" i="7"/>
  <c r="D19" i="7"/>
  <c r="C19" i="7"/>
  <c r="B19" i="7"/>
  <c r="B20" i="8"/>
  <c r="C20" i="8"/>
  <c r="D20" i="8"/>
  <c r="E20" i="8"/>
  <c r="F20" i="8"/>
  <c r="G20" i="8"/>
  <c r="H20" i="8"/>
  <c r="I20" i="8"/>
  <c r="J20" i="8"/>
  <c r="K20" i="8"/>
  <c r="L20" i="8"/>
  <c r="M20" i="8"/>
  <c r="B21" i="8"/>
  <c r="C21" i="8"/>
  <c r="D21" i="8"/>
  <c r="E21" i="8"/>
  <c r="F21" i="8"/>
  <c r="G21" i="8"/>
  <c r="H21" i="8"/>
  <c r="I21" i="8"/>
  <c r="J21" i="8"/>
  <c r="K21" i="8"/>
  <c r="L21" i="8"/>
  <c r="M21" i="8"/>
  <c r="B22" i="8"/>
  <c r="C22" i="8"/>
  <c r="D22" i="8"/>
  <c r="E22" i="8"/>
  <c r="F22" i="8"/>
  <c r="G22" i="8"/>
  <c r="H22" i="8"/>
  <c r="I22" i="8"/>
  <c r="J22" i="8"/>
  <c r="K22" i="8"/>
  <c r="L22" i="8"/>
  <c r="M22" i="8"/>
  <c r="B23" i="8"/>
  <c r="C23" i="8"/>
  <c r="D23" i="8"/>
  <c r="E23" i="8"/>
  <c r="F23" i="8"/>
  <c r="G23" i="8"/>
  <c r="H23" i="8"/>
  <c r="I23" i="8"/>
  <c r="J23" i="8"/>
  <c r="K23" i="8"/>
  <c r="L23" i="8"/>
  <c r="M23" i="8"/>
  <c r="B24" i="8"/>
  <c r="C24" i="8"/>
  <c r="D24" i="8"/>
  <c r="E24" i="8"/>
  <c r="F24" i="8"/>
  <c r="G24" i="8"/>
  <c r="H24" i="8"/>
  <c r="I24" i="8"/>
  <c r="J24" i="8"/>
  <c r="K24" i="8"/>
  <c r="L24" i="8"/>
  <c r="M24" i="8"/>
  <c r="B25" i="8"/>
  <c r="C25" i="8"/>
  <c r="D25" i="8"/>
  <c r="E25" i="8"/>
  <c r="F25" i="8"/>
  <c r="G25" i="8"/>
  <c r="H25" i="8"/>
  <c r="I25" i="8"/>
  <c r="J25" i="8"/>
  <c r="K25" i="8"/>
  <c r="L25" i="8"/>
  <c r="M25" i="8"/>
  <c r="B26" i="8"/>
  <c r="C26" i="8"/>
  <c r="D26" i="8"/>
  <c r="E26" i="8"/>
  <c r="F26" i="8"/>
  <c r="G26" i="8"/>
  <c r="H26" i="8"/>
  <c r="I26" i="8"/>
  <c r="J26" i="8"/>
  <c r="K26" i="8"/>
  <c r="L26" i="8"/>
  <c r="M26" i="8"/>
  <c r="B27" i="8"/>
  <c r="C27" i="8"/>
  <c r="D27" i="8"/>
  <c r="E27" i="8"/>
  <c r="F27" i="8"/>
  <c r="G27" i="8"/>
  <c r="H27" i="8"/>
  <c r="I27" i="8"/>
  <c r="J27" i="8"/>
  <c r="K27" i="8"/>
  <c r="L27" i="8"/>
  <c r="M27" i="8"/>
  <c r="B28" i="8"/>
  <c r="C28" i="8"/>
  <c r="D28" i="8"/>
  <c r="E28" i="8"/>
  <c r="F28" i="8"/>
  <c r="G28" i="8"/>
  <c r="H28" i="8"/>
  <c r="I28" i="8"/>
  <c r="J28" i="8"/>
  <c r="K28" i="8"/>
  <c r="L28" i="8"/>
  <c r="M28" i="8"/>
  <c r="B29" i="8"/>
  <c r="C29" i="8"/>
  <c r="D29" i="8"/>
  <c r="E29" i="8"/>
  <c r="F29" i="8"/>
  <c r="G29" i="8"/>
  <c r="H29" i="8"/>
  <c r="I29" i="8"/>
  <c r="J29" i="8"/>
  <c r="K29" i="8"/>
  <c r="L29" i="8"/>
  <c r="M29" i="8"/>
  <c r="B30" i="8"/>
  <c r="C30" i="8"/>
  <c r="D30" i="8"/>
  <c r="E30" i="8"/>
  <c r="F30" i="8"/>
  <c r="G30" i="8"/>
  <c r="H30" i="8"/>
  <c r="I30" i="8"/>
  <c r="J30" i="8"/>
  <c r="K30" i="8"/>
  <c r="L30" i="8"/>
  <c r="M30" i="8"/>
  <c r="C19" i="8"/>
  <c r="D19" i="8"/>
  <c r="E19" i="8"/>
  <c r="F19" i="8"/>
  <c r="G19" i="8"/>
  <c r="H19" i="8"/>
  <c r="I19" i="8"/>
  <c r="J19" i="8"/>
  <c r="K19" i="8"/>
  <c r="L19" i="8"/>
  <c r="M19" i="8"/>
  <c r="B19" i="8"/>
  <c r="Z13" i="8"/>
  <c r="Y13" i="8"/>
  <c r="X13" i="8"/>
  <c r="W13" i="8"/>
  <c r="V13" i="8"/>
  <c r="U13" i="8"/>
  <c r="T13" i="8"/>
  <c r="S13" i="8"/>
  <c r="R13" i="8"/>
  <c r="AA12" i="8"/>
  <c r="Z12" i="8"/>
  <c r="X12" i="8"/>
  <c r="W12" i="8"/>
  <c r="V12" i="8"/>
  <c r="U12" i="8"/>
  <c r="T12" i="8"/>
  <c r="S12" i="8"/>
  <c r="R12" i="8"/>
  <c r="AA11" i="8"/>
  <c r="Z11" i="8"/>
  <c r="Y11" i="8"/>
  <c r="X11" i="8"/>
  <c r="V11" i="8"/>
  <c r="U11" i="8"/>
  <c r="T11" i="8"/>
  <c r="S11" i="8"/>
  <c r="R11" i="8"/>
  <c r="AA10" i="8"/>
  <c r="Z10" i="8"/>
  <c r="Y10" i="8"/>
  <c r="X10" i="8"/>
  <c r="W10" i="8"/>
  <c r="V10" i="8"/>
  <c r="T10" i="8"/>
  <c r="S10" i="8"/>
  <c r="R10" i="8"/>
  <c r="AA9" i="8"/>
  <c r="Z9" i="8"/>
  <c r="Y9" i="8"/>
  <c r="X9" i="8"/>
  <c r="W9" i="8"/>
  <c r="V9" i="8"/>
  <c r="U9" i="8"/>
  <c r="T9" i="8"/>
  <c r="R9" i="8"/>
  <c r="AA8" i="8"/>
  <c r="Z8" i="8"/>
  <c r="Y8" i="8"/>
  <c r="X8" i="8"/>
  <c r="W8" i="8"/>
  <c r="V8" i="8"/>
  <c r="U8" i="8"/>
  <c r="T8" i="8"/>
  <c r="S8" i="8"/>
  <c r="R8" i="8"/>
  <c r="Z7" i="8"/>
  <c r="Y7" i="8"/>
  <c r="X7" i="8"/>
  <c r="W7" i="8"/>
  <c r="V7" i="8"/>
  <c r="U7" i="8"/>
  <c r="T7" i="8"/>
  <c r="S7" i="8"/>
  <c r="R7" i="8"/>
  <c r="AA6" i="8"/>
  <c r="Z6" i="8"/>
  <c r="X6" i="8"/>
  <c r="W6" i="8"/>
  <c r="V6" i="8"/>
  <c r="U6" i="8"/>
  <c r="T6" i="8"/>
  <c r="S6" i="8"/>
  <c r="R6" i="8"/>
  <c r="AA5" i="8"/>
  <c r="Z5" i="8"/>
  <c r="Y5" i="8"/>
  <c r="X5" i="8"/>
  <c r="V5" i="8"/>
  <c r="U5" i="8"/>
  <c r="T5" i="8"/>
  <c r="S5" i="8"/>
  <c r="R5" i="8"/>
  <c r="AA4" i="8"/>
  <c r="Z4" i="8"/>
  <c r="Y4" i="8"/>
  <c r="X4" i="8"/>
  <c r="W4" i="8"/>
  <c r="V4" i="8"/>
  <c r="T4" i="8"/>
  <c r="S4" i="8"/>
  <c r="R4" i="8"/>
  <c r="AA3" i="8"/>
  <c r="Z3" i="8"/>
  <c r="Y3" i="8"/>
  <c r="X3" i="8"/>
  <c r="W3" i="8"/>
  <c r="V3" i="8"/>
  <c r="U3" i="8"/>
  <c r="T3" i="8"/>
  <c r="R3" i="8"/>
  <c r="AA2" i="8"/>
  <c r="Z2" i="8"/>
  <c r="Y2" i="8"/>
  <c r="X2" i="8"/>
  <c r="W2" i="8"/>
  <c r="V2" i="8"/>
  <c r="U2" i="8"/>
  <c r="T2" i="8"/>
  <c r="S2" i="8"/>
  <c r="R2" i="8"/>
  <c r="O2" i="8"/>
  <c r="AC13" i="8" s="1"/>
  <c r="O2" i="7"/>
  <c r="AB13" i="7" s="1"/>
  <c r="O2" i="6"/>
  <c r="AC13" i="6" s="1"/>
  <c r="U13" i="5"/>
  <c r="T13" i="5"/>
  <c r="S13" i="5"/>
  <c r="R13" i="5"/>
  <c r="X12" i="5"/>
  <c r="W12" i="5"/>
  <c r="V12" i="5"/>
  <c r="U12" i="5"/>
  <c r="T12" i="5"/>
  <c r="W11" i="5"/>
  <c r="V11" i="5"/>
  <c r="U11" i="5"/>
  <c r="T11" i="5"/>
  <c r="S11" i="5"/>
  <c r="R11" i="5"/>
  <c r="X10" i="5"/>
  <c r="W10" i="5"/>
  <c r="V10" i="5"/>
  <c r="R10" i="5"/>
  <c r="X9" i="5"/>
  <c r="W9" i="5"/>
  <c r="V9" i="5"/>
  <c r="U9" i="5"/>
  <c r="T9" i="5"/>
  <c r="S9" i="5"/>
  <c r="R9" i="5"/>
  <c r="X8" i="5"/>
  <c r="T8" i="5"/>
  <c r="S8" i="5"/>
  <c r="R8" i="5"/>
  <c r="X7" i="5"/>
  <c r="W7" i="5"/>
  <c r="V7" i="5"/>
  <c r="U7" i="5"/>
  <c r="T7" i="5"/>
  <c r="S7" i="5"/>
  <c r="V6" i="5"/>
  <c r="U6" i="5"/>
  <c r="T6" i="5"/>
  <c r="S6" i="5"/>
  <c r="R6" i="5"/>
  <c r="X5" i="5"/>
  <c r="W5" i="5"/>
  <c r="V5" i="5"/>
  <c r="U5" i="5"/>
  <c r="X4" i="5"/>
  <c r="W4" i="5"/>
  <c r="V4" i="5"/>
  <c r="U4" i="5"/>
  <c r="T4" i="5"/>
  <c r="S4" i="5"/>
  <c r="R4" i="5"/>
  <c r="X3" i="5"/>
  <c r="W3" i="5"/>
  <c r="S3" i="5"/>
  <c r="R3" i="5"/>
  <c r="X2" i="5"/>
  <c r="W2" i="5"/>
  <c r="V2" i="5"/>
  <c r="U2" i="5"/>
  <c r="T2" i="5"/>
  <c r="S2" i="5"/>
  <c r="R2" i="5"/>
  <c r="O2" i="5"/>
  <c r="AC13" i="5" s="1"/>
  <c r="Y4" i="4"/>
  <c r="S2" i="4"/>
  <c r="O2" i="4"/>
  <c r="AC13" i="4" s="1"/>
  <c r="O2" i="3"/>
  <c r="AC13" i="3" s="1"/>
  <c r="O2" i="2"/>
  <c r="AC13" i="2" s="1"/>
  <c r="O2" i="1"/>
  <c r="T4" i="1" s="1"/>
  <c r="AR10" i="9" l="1"/>
  <c r="R3" i="13"/>
  <c r="U4" i="13"/>
  <c r="X5" i="13"/>
  <c r="R7" i="13"/>
  <c r="U8" i="13"/>
  <c r="X9" i="13"/>
  <c r="R11" i="13"/>
  <c r="U12" i="13"/>
  <c r="X13" i="13"/>
  <c r="S3" i="13"/>
  <c r="V4" i="13"/>
  <c r="Y5" i="13"/>
  <c r="S7" i="13"/>
  <c r="V8" i="13"/>
  <c r="Y9" i="13"/>
  <c r="S11" i="13"/>
  <c r="V12" i="13"/>
  <c r="Y13" i="13"/>
  <c r="R2" i="13"/>
  <c r="T3" i="13"/>
  <c r="W4" i="13"/>
  <c r="Z5" i="13"/>
  <c r="T7" i="13"/>
  <c r="W8" i="13"/>
  <c r="Z9" i="13"/>
  <c r="T11" i="13"/>
  <c r="W12" i="13"/>
  <c r="Z13" i="13"/>
  <c r="AA2" i="13"/>
  <c r="AA3" i="13"/>
  <c r="AA4" i="13"/>
  <c r="AA5" i="13"/>
  <c r="AA6" i="13"/>
  <c r="AA7" i="13"/>
  <c r="AA8" i="13"/>
  <c r="AA9" i="13"/>
  <c r="AA10" i="13"/>
  <c r="AA11" i="13"/>
  <c r="AA12" i="13"/>
  <c r="AA13" i="13"/>
  <c r="AB3" i="13"/>
  <c r="AB4" i="13"/>
  <c r="AB5" i="13"/>
  <c r="AB6" i="13"/>
  <c r="AB7" i="13"/>
  <c r="AB8" i="13"/>
  <c r="AB9" i="13"/>
  <c r="AB10" i="13"/>
  <c r="AB11" i="13"/>
  <c r="AB12" i="13"/>
  <c r="AB13" i="13"/>
  <c r="AC2" i="13"/>
  <c r="AC3" i="13"/>
  <c r="AC4" i="13"/>
  <c r="AC5" i="13"/>
  <c r="AC6" i="13"/>
  <c r="AC7" i="13"/>
  <c r="AC8" i="13"/>
  <c r="AC9" i="13"/>
  <c r="AC10" i="13"/>
  <c r="AC11" i="13"/>
  <c r="AC12" i="13"/>
  <c r="S3" i="8"/>
  <c r="U4" i="8"/>
  <c r="W5" i="8"/>
  <c r="Y6" i="8"/>
  <c r="AA7" i="8"/>
  <c r="S9" i="8"/>
  <c r="U10" i="8"/>
  <c r="W11" i="8"/>
  <c r="Y12" i="8"/>
  <c r="AA13" i="8"/>
  <c r="AB2" i="8"/>
  <c r="AB3" i="8"/>
  <c r="AB4" i="8"/>
  <c r="AB5" i="8"/>
  <c r="AB6" i="8"/>
  <c r="AB7" i="8"/>
  <c r="AB8" i="8"/>
  <c r="AB9" i="8"/>
  <c r="AB10" i="8"/>
  <c r="AB11" i="8"/>
  <c r="AB12" i="8"/>
  <c r="AB13" i="8"/>
  <c r="AC2" i="8"/>
  <c r="AC3" i="8"/>
  <c r="AC4" i="8"/>
  <c r="AC5" i="8"/>
  <c r="AC6" i="8"/>
  <c r="AC7" i="8"/>
  <c r="AC8" i="8"/>
  <c r="AC9" i="8"/>
  <c r="AC10" i="8"/>
  <c r="AC11" i="8"/>
  <c r="AC12" i="8"/>
  <c r="AC12" i="7"/>
  <c r="R3" i="7"/>
  <c r="R4" i="7"/>
  <c r="R5" i="7"/>
  <c r="R6" i="7"/>
  <c r="R7" i="7"/>
  <c r="R8" i="7"/>
  <c r="R9" i="7"/>
  <c r="R11" i="7"/>
  <c r="R12" i="7"/>
  <c r="R13" i="7"/>
  <c r="AC2" i="7"/>
  <c r="AC3" i="7"/>
  <c r="AC4" i="7"/>
  <c r="AC7" i="7"/>
  <c r="AC13" i="7"/>
  <c r="R2" i="7"/>
  <c r="R10" i="7"/>
  <c r="S2" i="7"/>
  <c r="S3" i="7"/>
  <c r="S4" i="7"/>
  <c r="S5" i="7"/>
  <c r="S6" i="7"/>
  <c r="S7" i="7"/>
  <c r="S8" i="7"/>
  <c r="S9" i="7"/>
  <c r="S10" i="7"/>
  <c r="S11" i="7"/>
  <c r="S12" i="7"/>
  <c r="S13" i="7"/>
  <c r="AC11" i="7"/>
  <c r="T3" i="7"/>
  <c r="T7" i="7"/>
  <c r="T8" i="7"/>
  <c r="T9" i="7"/>
  <c r="T10" i="7"/>
  <c r="T11" i="7"/>
  <c r="T12" i="7"/>
  <c r="T13" i="7"/>
  <c r="U2" i="7"/>
  <c r="U3" i="7"/>
  <c r="U4" i="7"/>
  <c r="U5" i="7"/>
  <c r="U6" i="7"/>
  <c r="U7" i="7"/>
  <c r="U8" i="7"/>
  <c r="U9" i="7"/>
  <c r="U10" i="7"/>
  <c r="U11" i="7"/>
  <c r="U12" i="7"/>
  <c r="U13" i="7"/>
  <c r="AC8" i="7"/>
  <c r="T5" i="7"/>
  <c r="V4" i="7"/>
  <c r="V7" i="7"/>
  <c r="V9" i="7"/>
  <c r="V11" i="7"/>
  <c r="V13" i="7"/>
  <c r="W2" i="7"/>
  <c r="W3" i="7"/>
  <c r="W4" i="7"/>
  <c r="W5" i="7"/>
  <c r="W6" i="7"/>
  <c r="W7" i="7"/>
  <c r="W8" i="7"/>
  <c r="W9" i="7"/>
  <c r="W10" i="7"/>
  <c r="W11" i="7"/>
  <c r="W12" i="7"/>
  <c r="W13" i="7"/>
  <c r="AC6" i="7"/>
  <c r="T4" i="7"/>
  <c r="V2" i="7"/>
  <c r="V3" i="7"/>
  <c r="V5" i="7"/>
  <c r="V6" i="7"/>
  <c r="V8" i="7"/>
  <c r="V10" i="7"/>
  <c r="V12" i="7"/>
  <c r="X2" i="7"/>
  <c r="X3" i="7"/>
  <c r="X4" i="7"/>
  <c r="X5" i="7"/>
  <c r="X6" i="7"/>
  <c r="X7" i="7"/>
  <c r="X8" i="7"/>
  <c r="X9" i="7"/>
  <c r="X10" i="7"/>
  <c r="X11" i="7"/>
  <c r="X12" i="7"/>
  <c r="X13" i="7"/>
  <c r="AC9" i="7"/>
  <c r="Y4" i="7"/>
  <c r="Y12" i="7"/>
  <c r="Z2" i="7"/>
  <c r="Z3" i="7"/>
  <c r="Z4" i="7"/>
  <c r="Z5" i="7"/>
  <c r="Z6" i="7"/>
  <c r="Z7" i="7"/>
  <c r="Z8" i="7"/>
  <c r="Z9" i="7"/>
  <c r="Z10" i="7"/>
  <c r="Z11" i="7"/>
  <c r="Z12" i="7"/>
  <c r="Z13" i="7"/>
  <c r="AC10" i="7"/>
  <c r="T2" i="7"/>
  <c r="Y5" i="7"/>
  <c r="Y9" i="7"/>
  <c r="Y13" i="7"/>
  <c r="AA2" i="7"/>
  <c r="AA3" i="7"/>
  <c r="AA4" i="7"/>
  <c r="AA5" i="7"/>
  <c r="AA6" i="7"/>
  <c r="AA7" i="7"/>
  <c r="AA8" i="7"/>
  <c r="AA9" i="7"/>
  <c r="AA10" i="7"/>
  <c r="AA11" i="7"/>
  <c r="AA12" i="7"/>
  <c r="AA13" i="7"/>
  <c r="AC5" i="7"/>
  <c r="T6" i="7"/>
  <c r="Y2" i="7"/>
  <c r="Y3" i="7"/>
  <c r="Y6" i="7"/>
  <c r="Y7" i="7"/>
  <c r="Y8" i="7"/>
  <c r="Y10" i="7"/>
  <c r="Y11" i="7"/>
  <c r="AB2" i="7"/>
  <c r="AB3" i="7"/>
  <c r="AB4" i="7"/>
  <c r="AB5" i="7"/>
  <c r="AB6" i="7"/>
  <c r="AB7" i="7"/>
  <c r="AB8" i="7"/>
  <c r="AB9" i="7"/>
  <c r="AB10" i="7"/>
  <c r="AB11" i="7"/>
  <c r="AB12" i="7"/>
  <c r="S3" i="6"/>
  <c r="U4" i="6"/>
  <c r="Y6" i="6"/>
  <c r="AA7" i="6"/>
  <c r="S9" i="6"/>
  <c r="U10" i="6"/>
  <c r="W11" i="6"/>
  <c r="Y12" i="6"/>
  <c r="W5" i="6"/>
  <c r="R2" i="6"/>
  <c r="T3" i="6"/>
  <c r="V4" i="6"/>
  <c r="X5" i="6"/>
  <c r="Z6" i="6"/>
  <c r="R8" i="6"/>
  <c r="T9" i="6"/>
  <c r="V10" i="6"/>
  <c r="X11" i="6"/>
  <c r="Z12" i="6"/>
  <c r="U3" i="6"/>
  <c r="U9" i="6"/>
  <c r="S2" i="6"/>
  <c r="X4" i="6"/>
  <c r="T8" i="6"/>
  <c r="V9" i="6"/>
  <c r="X10" i="6"/>
  <c r="Z11" i="6"/>
  <c r="R13" i="6"/>
  <c r="AA12" i="6"/>
  <c r="U2" i="6"/>
  <c r="Y4" i="6"/>
  <c r="AA5" i="6"/>
  <c r="S7" i="6"/>
  <c r="U8" i="6"/>
  <c r="W9" i="6"/>
  <c r="Y10" i="6"/>
  <c r="AA11" i="6"/>
  <c r="S13" i="6"/>
  <c r="S8" i="6"/>
  <c r="X3" i="6"/>
  <c r="R6" i="6"/>
  <c r="T7" i="6"/>
  <c r="V8" i="6"/>
  <c r="X9" i="6"/>
  <c r="Z10" i="6"/>
  <c r="R12" i="6"/>
  <c r="T13" i="6"/>
  <c r="Y5" i="6"/>
  <c r="R7" i="6"/>
  <c r="W2" i="6"/>
  <c r="Y3" i="6"/>
  <c r="AA4" i="6"/>
  <c r="S6" i="6"/>
  <c r="U7" i="6"/>
  <c r="W8" i="6"/>
  <c r="Y9" i="6"/>
  <c r="AA10" i="6"/>
  <c r="S12" i="6"/>
  <c r="U13" i="6"/>
  <c r="AA6" i="6"/>
  <c r="V2" i="6"/>
  <c r="X2" i="6"/>
  <c r="T6" i="6"/>
  <c r="R11" i="6"/>
  <c r="V13" i="6"/>
  <c r="W4" i="6"/>
  <c r="V3" i="6"/>
  <c r="R5" i="6"/>
  <c r="T12" i="6"/>
  <c r="Y2" i="6"/>
  <c r="AA3" i="6"/>
  <c r="S5" i="6"/>
  <c r="U6" i="6"/>
  <c r="W7" i="6"/>
  <c r="Y8" i="6"/>
  <c r="AA9" i="6"/>
  <c r="S11" i="6"/>
  <c r="U12" i="6"/>
  <c r="W13" i="6"/>
  <c r="W10" i="6"/>
  <c r="T2" i="6"/>
  <c r="Z9" i="6"/>
  <c r="Z2" i="6"/>
  <c r="R4" i="6"/>
  <c r="T5" i="6"/>
  <c r="V6" i="6"/>
  <c r="X7" i="6"/>
  <c r="Z8" i="6"/>
  <c r="R10" i="6"/>
  <c r="T11" i="6"/>
  <c r="V12" i="6"/>
  <c r="X13" i="6"/>
  <c r="Y11" i="6"/>
  <c r="Z5" i="6"/>
  <c r="W3" i="6"/>
  <c r="Z4" i="6"/>
  <c r="X8" i="6"/>
  <c r="AA2" i="6"/>
  <c r="S4" i="6"/>
  <c r="U5" i="6"/>
  <c r="W6" i="6"/>
  <c r="Y7" i="6"/>
  <c r="AA8" i="6"/>
  <c r="S10" i="6"/>
  <c r="U11" i="6"/>
  <c r="W12" i="6"/>
  <c r="Y13" i="6"/>
  <c r="Z3" i="6"/>
  <c r="V7" i="6"/>
  <c r="R3" i="6"/>
  <c r="T4" i="6"/>
  <c r="V5" i="6"/>
  <c r="X6" i="6"/>
  <c r="Z7" i="6"/>
  <c r="R9" i="6"/>
  <c r="T10" i="6"/>
  <c r="V11" i="6"/>
  <c r="X12" i="6"/>
  <c r="Z13" i="6"/>
  <c r="AA13" i="6"/>
  <c r="AB2" i="6"/>
  <c r="AB3" i="6"/>
  <c r="AB4" i="6"/>
  <c r="AB5" i="6"/>
  <c r="AB6" i="6"/>
  <c r="AB7" i="6"/>
  <c r="AB8" i="6"/>
  <c r="AB9" i="6"/>
  <c r="AB10" i="6"/>
  <c r="AB11" i="6"/>
  <c r="AB12" i="6"/>
  <c r="AB13" i="6"/>
  <c r="AC2" i="6"/>
  <c r="AC3" i="6"/>
  <c r="AC4" i="6"/>
  <c r="AC5" i="6"/>
  <c r="AC6" i="6"/>
  <c r="AC7" i="6"/>
  <c r="AC8" i="6"/>
  <c r="AC9" i="6"/>
  <c r="AC10" i="6"/>
  <c r="AC11" i="6"/>
  <c r="AC12" i="6"/>
  <c r="T3" i="5"/>
  <c r="R5" i="5"/>
  <c r="W6" i="5"/>
  <c r="U8" i="5"/>
  <c r="S10" i="5"/>
  <c r="X11" i="5"/>
  <c r="V13" i="5"/>
  <c r="U3" i="5"/>
  <c r="S5" i="5"/>
  <c r="X6" i="5"/>
  <c r="V8" i="5"/>
  <c r="T10" i="5"/>
  <c r="R12" i="5"/>
  <c r="W13" i="5"/>
  <c r="V3" i="5"/>
  <c r="T5" i="5"/>
  <c r="R7" i="5"/>
  <c r="W8" i="5"/>
  <c r="U10" i="5"/>
  <c r="S12" i="5"/>
  <c r="X13" i="5"/>
  <c r="Y2" i="5"/>
  <c r="Y3" i="5"/>
  <c r="Y4" i="5"/>
  <c r="Y5" i="5"/>
  <c r="Y6" i="5"/>
  <c r="Y7" i="5"/>
  <c r="Y8" i="5"/>
  <c r="Y9" i="5"/>
  <c r="Y10" i="5"/>
  <c r="Y11" i="5"/>
  <c r="Y12" i="5"/>
  <c r="Y13" i="5"/>
  <c r="Z2" i="5"/>
  <c r="Z3" i="5"/>
  <c r="Z4" i="5"/>
  <c r="Z5" i="5"/>
  <c r="Z6" i="5"/>
  <c r="Z7" i="5"/>
  <c r="Z8" i="5"/>
  <c r="Z9" i="5"/>
  <c r="Z10" i="5"/>
  <c r="Z11" i="5"/>
  <c r="Z12" i="5"/>
  <c r="Z13" i="5"/>
  <c r="AA2" i="5"/>
  <c r="AA3" i="5"/>
  <c r="AA4" i="5"/>
  <c r="AA5" i="5"/>
  <c r="AA6" i="5"/>
  <c r="AA7" i="5"/>
  <c r="AA8" i="5"/>
  <c r="AA9" i="5"/>
  <c r="AA10" i="5"/>
  <c r="AA11" i="5"/>
  <c r="AA12" i="5"/>
  <c r="AA13" i="5"/>
  <c r="AB2" i="5"/>
  <c r="AB3" i="5"/>
  <c r="AB4" i="5"/>
  <c r="AB5" i="5"/>
  <c r="AB6" i="5"/>
  <c r="AB7" i="5"/>
  <c r="AB8" i="5"/>
  <c r="AB9" i="5"/>
  <c r="AB10" i="5"/>
  <c r="AB11" i="5"/>
  <c r="AB12" i="5"/>
  <c r="AB13" i="5"/>
  <c r="AC2" i="5"/>
  <c r="AC3" i="5"/>
  <c r="AC4" i="5"/>
  <c r="AC5" i="5"/>
  <c r="AC6" i="5"/>
  <c r="AC7" i="5"/>
  <c r="AC8" i="5"/>
  <c r="AC9" i="5"/>
  <c r="AC10" i="5"/>
  <c r="AC11" i="5"/>
  <c r="AC12" i="5"/>
  <c r="W4" i="4"/>
  <c r="Z5" i="4"/>
  <c r="T7" i="4"/>
  <c r="W8" i="4"/>
  <c r="Z9" i="4"/>
  <c r="T11" i="4"/>
  <c r="W12" i="4"/>
  <c r="T3" i="4"/>
  <c r="R2" i="4"/>
  <c r="U3" i="4"/>
  <c r="X4" i="4"/>
  <c r="R6" i="4"/>
  <c r="U7" i="4"/>
  <c r="X8" i="4"/>
  <c r="R10" i="4"/>
  <c r="U11" i="4"/>
  <c r="X12" i="4"/>
  <c r="Y8" i="4"/>
  <c r="T2" i="4"/>
  <c r="W3" i="4"/>
  <c r="Z4" i="4"/>
  <c r="T6" i="4"/>
  <c r="W7" i="4"/>
  <c r="Z8" i="4"/>
  <c r="T10" i="4"/>
  <c r="W11" i="4"/>
  <c r="Z12" i="4"/>
  <c r="S6" i="4"/>
  <c r="X3" i="4"/>
  <c r="R9" i="4"/>
  <c r="U10" i="4"/>
  <c r="X11" i="4"/>
  <c r="R13" i="4"/>
  <c r="V11" i="4"/>
  <c r="S5" i="4"/>
  <c r="S13" i="4"/>
  <c r="S10" i="4"/>
  <c r="X7" i="4"/>
  <c r="Y3" i="4"/>
  <c r="V10" i="4"/>
  <c r="Z7" i="4"/>
  <c r="W10" i="4"/>
  <c r="T13" i="4"/>
  <c r="V3" i="4"/>
  <c r="U2" i="4"/>
  <c r="S9" i="4"/>
  <c r="Z3" i="4"/>
  <c r="W6" i="4"/>
  <c r="T9" i="4"/>
  <c r="Z11" i="4"/>
  <c r="U13" i="4"/>
  <c r="Y12" i="4"/>
  <c r="R5" i="4"/>
  <c r="Y11" i="4"/>
  <c r="T5" i="4"/>
  <c r="R8" i="4"/>
  <c r="Y2" i="4"/>
  <c r="S4" i="4"/>
  <c r="V5" i="4"/>
  <c r="Y6" i="4"/>
  <c r="S8" i="4"/>
  <c r="V9" i="4"/>
  <c r="Y10" i="4"/>
  <c r="S12" i="4"/>
  <c r="V13" i="4"/>
  <c r="X2" i="4"/>
  <c r="R12" i="4"/>
  <c r="Z2" i="4"/>
  <c r="T4" i="4"/>
  <c r="W5" i="4"/>
  <c r="Z6" i="4"/>
  <c r="T8" i="4"/>
  <c r="W9" i="4"/>
  <c r="Z10" i="4"/>
  <c r="T12" i="4"/>
  <c r="W13" i="4"/>
  <c r="V6" i="4"/>
  <c r="W2" i="4"/>
  <c r="U5" i="4"/>
  <c r="X10" i="4"/>
  <c r="R3" i="4"/>
  <c r="U4" i="4"/>
  <c r="X5" i="4"/>
  <c r="R7" i="4"/>
  <c r="U8" i="4"/>
  <c r="X9" i="4"/>
  <c r="R11" i="4"/>
  <c r="U12" i="4"/>
  <c r="X13" i="4"/>
  <c r="V7" i="4"/>
  <c r="U6" i="4"/>
  <c r="V2" i="4"/>
  <c r="Y7" i="4"/>
  <c r="R4" i="4"/>
  <c r="X6" i="4"/>
  <c r="U9" i="4"/>
  <c r="S3" i="4"/>
  <c r="V4" i="4"/>
  <c r="Y5" i="4"/>
  <c r="S7" i="4"/>
  <c r="V8" i="4"/>
  <c r="Y9" i="4"/>
  <c r="S11" i="4"/>
  <c r="V12" i="4"/>
  <c r="Y13" i="4"/>
  <c r="Z13" i="4"/>
  <c r="AA2" i="4"/>
  <c r="AA3" i="4"/>
  <c r="AA4" i="4"/>
  <c r="AA5" i="4"/>
  <c r="AA6" i="4"/>
  <c r="AA7" i="4"/>
  <c r="AA8" i="4"/>
  <c r="AA9" i="4"/>
  <c r="AA10" i="4"/>
  <c r="AA11" i="4"/>
  <c r="AA12" i="4"/>
  <c r="AA13" i="4"/>
  <c r="AB2" i="4"/>
  <c r="AB3" i="4"/>
  <c r="AB4" i="4"/>
  <c r="AB5" i="4"/>
  <c r="AB6" i="4"/>
  <c r="AB7" i="4"/>
  <c r="AB8" i="4"/>
  <c r="AB9" i="4"/>
  <c r="AB10" i="4"/>
  <c r="AB11" i="4"/>
  <c r="AB12" i="4"/>
  <c r="AB13" i="4"/>
  <c r="AC2" i="4"/>
  <c r="AC3" i="4"/>
  <c r="AC4" i="4"/>
  <c r="AC5" i="4"/>
  <c r="AC6" i="4"/>
  <c r="AC7" i="4"/>
  <c r="AC8" i="4"/>
  <c r="AC9" i="4"/>
  <c r="AC10" i="4"/>
  <c r="AC11" i="4"/>
  <c r="AC12" i="4"/>
  <c r="Y10" i="3"/>
  <c r="U9" i="3"/>
  <c r="R2" i="3"/>
  <c r="V3" i="3"/>
  <c r="R5" i="3"/>
  <c r="V6" i="3"/>
  <c r="R8" i="3"/>
  <c r="V9" i="3"/>
  <c r="R11" i="3"/>
  <c r="V12" i="3"/>
  <c r="W6" i="3"/>
  <c r="T11" i="3"/>
  <c r="U11" i="3"/>
  <c r="Y4" i="3"/>
  <c r="S8" i="3"/>
  <c r="T2" i="3"/>
  <c r="S13" i="3"/>
  <c r="Y7" i="3"/>
  <c r="S2" i="3"/>
  <c r="S11" i="3"/>
  <c r="T8" i="3"/>
  <c r="U2" i="3"/>
  <c r="V2" i="3"/>
  <c r="X9" i="3"/>
  <c r="U8" i="3"/>
  <c r="R4" i="3"/>
  <c r="T4" i="3"/>
  <c r="W3" i="3"/>
  <c r="W9" i="3"/>
  <c r="W12" i="3"/>
  <c r="X6" i="3"/>
  <c r="Y3" i="3"/>
  <c r="Y6" i="3"/>
  <c r="R10" i="3"/>
  <c r="W5" i="3"/>
  <c r="U10" i="3"/>
  <c r="R7" i="3"/>
  <c r="W8" i="3"/>
  <c r="T10" i="3"/>
  <c r="X11" i="3"/>
  <c r="Y2" i="3"/>
  <c r="Y5" i="3"/>
  <c r="Y8" i="3"/>
  <c r="Y11" i="3"/>
  <c r="V13" i="3"/>
  <c r="R3" i="3"/>
  <c r="V4" i="3"/>
  <c r="R6" i="3"/>
  <c r="V7" i="3"/>
  <c r="R9" i="3"/>
  <c r="V10" i="3"/>
  <c r="R12" i="3"/>
  <c r="W13" i="3"/>
  <c r="S5" i="3"/>
  <c r="X3" i="3"/>
  <c r="X12" i="3"/>
  <c r="U5" i="3"/>
  <c r="Y9" i="3"/>
  <c r="V8" i="3"/>
  <c r="S4" i="3"/>
  <c r="X5" i="3"/>
  <c r="U13" i="3"/>
  <c r="U7" i="3"/>
  <c r="S3" i="3"/>
  <c r="W4" i="3"/>
  <c r="S6" i="3"/>
  <c r="W7" i="3"/>
  <c r="S9" i="3"/>
  <c r="W10" i="3"/>
  <c r="S12" i="3"/>
  <c r="X13" i="3"/>
  <c r="U3" i="3"/>
  <c r="U6" i="3"/>
  <c r="U12" i="3"/>
  <c r="T5" i="3"/>
  <c r="R13" i="3"/>
  <c r="V5" i="3"/>
  <c r="V11" i="3"/>
  <c r="W2" i="3"/>
  <c r="S7" i="3"/>
  <c r="S10" i="3"/>
  <c r="W11" i="3"/>
  <c r="T13" i="3"/>
  <c r="X2" i="3"/>
  <c r="T7" i="3"/>
  <c r="X8" i="3"/>
  <c r="U4" i="3"/>
  <c r="T3" i="3"/>
  <c r="X4" i="3"/>
  <c r="T6" i="3"/>
  <c r="X7" i="3"/>
  <c r="T9" i="3"/>
  <c r="X10" i="3"/>
  <c r="T12" i="3"/>
  <c r="Y13" i="3"/>
  <c r="Y12" i="3"/>
  <c r="Z2" i="3"/>
  <c r="Z3" i="3"/>
  <c r="Z4" i="3"/>
  <c r="Z5" i="3"/>
  <c r="Z6" i="3"/>
  <c r="Z7" i="3"/>
  <c r="Z8" i="3"/>
  <c r="Z9" i="3"/>
  <c r="Z10" i="3"/>
  <c r="Z11" i="3"/>
  <c r="Z12" i="3"/>
  <c r="Z13" i="3"/>
  <c r="AA2" i="3"/>
  <c r="AA3" i="3"/>
  <c r="AA4" i="3"/>
  <c r="AA5" i="3"/>
  <c r="AA6" i="3"/>
  <c r="AA7" i="3"/>
  <c r="AA8" i="3"/>
  <c r="AA9" i="3"/>
  <c r="AA10" i="3"/>
  <c r="AA11" i="3"/>
  <c r="AA12" i="3"/>
  <c r="AA13" i="3"/>
  <c r="AB2" i="3"/>
  <c r="AB3" i="3"/>
  <c r="AB4" i="3"/>
  <c r="AB5" i="3"/>
  <c r="AB6" i="3"/>
  <c r="AB7" i="3"/>
  <c r="AB8" i="3"/>
  <c r="AB9" i="3"/>
  <c r="AB10" i="3"/>
  <c r="AB11" i="3"/>
  <c r="AB12" i="3"/>
  <c r="AB13" i="3"/>
  <c r="AC2" i="3"/>
  <c r="AC3" i="3"/>
  <c r="AC4" i="3"/>
  <c r="AC5" i="3"/>
  <c r="AC6" i="3"/>
  <c r="AC7" i="3"/>
  <c r="AC8" i="3"/>
  <c r="AC9" i="3"/>
  <c r="AC10" i="3"/>
  <c r="AC11" i="3"/>
  <c r="AC12" i="3"/>
  <c r="Y2" i="2"/>
  <c r="S5" i="2"/>
  <c r="Y6" i="2"/>
  <c r="W2" i="2"/>
  <c r="Y4" i="2"/>
  <c r="W6" i="2"/>
  <c r="Z8" i="2"/>
  <c r="X3" i="2"/>
  <c r="U11" i="2"/>
  <c r="T13" i="2"/>
  <c r="W7" i="2"/>
  <c r="V5" i="2"/>
  <c r="S10" i="2"/>
  <c r="X12" i="2"/>
  <c r="Y12" i="2"/>
  <c r="Y3" i="2"/>
  <c r="R6" i="2"/>
  <c r="Z3" i="2"/>
  <c r="U10" i="2"/>
  <c r="T2" i="2"/>
  <c r="R4" i="2"/>
  <c r="T6" i="2"/>
  <c r="R8" i="2"/>
  <c r="V10" i="2"/>
  <c r="Z12" i="2"/>
  <c r="R5" i="2"/>
  <c r="T9" i="2"/>
  <c r="V3" i="2"/>
  <c r="U5" i="2"/>
  <c r="Z11" i="2"/>
  <c r="X7" i="2"/>
  <c r="Y7" i="2"/>
  <c r="S6" i="2"/>
  <c r="U2" i="2"/>
  <c r="S4" i="2"/>
  <c r="U6" i="2"/>
  <c r="X8" i="2"/>
  <c r="W10" i="2"/>
  <c r="R13" i="2"/>
  <c r="S9" i="2"/>
  <c r="W11" i="2"/>
  <c r="U3" i="2"/>
  <c r="U7" i="2"/>
  <c r="X11" i="2"/>
  <c r="T5" i="2"/>
  <c r="V7" i="2"/>
  <c r="U9" i="2"/>
  <c r="Y11" i="2"/>
  <c r="W3" i="2"/>
  <c r="R10" i="2"/>
  <c r="R12" i="2"/>
  <c r="R2" i="2"/>
  <c r="T10" i="2"/>
  <c r="S2" i="2"/>
  <c r="Z7" i="2"/>
  <c r="V2" i="2"/>
  <c r="X4" i="2"/>
  <c r="V6" i="2"/>
  <c r="Y8" i="2"/>
  <c r="X10" i="2"/>
  <c r="S13" i="2"/>
  <c r="X2" i="2"/>
  <c r="Z4" i="2"/>
  <c r="X6" i="2"/>
  <c r="R9" i="2"/>
  <c r="V11" i="2"/>
  <c r="U13" i="2"/>
  <c r="Y10" i="2"/>
  <c r="S8" i="2"/>
  <c r="T4" i="2"/>
  <c r="T8" i="2"/>
  <c r="W13" i="2"/>
  <c r="V9" i="2"/>
  <c r="V13" i="2"/>
  <c r="Z2" i="2"/>
  <c r="Z6" i="2"/>
  <c r="T12" i="2"/>
  <c r="R3" i="2"/>
  <c r="R7" i="2"/>
  <c r="U8" i="2"/>
  <c r="R11" i="2"/>
  <c r="U12" i="2"/>
  <c r="X13" i="2"/>
  <c r="S12" i="2"/>
  <c r="W5" i="2"/>
  <c r="W9" i="2"/>
  <c r="Z10" i="2"/>
  <c r="U4" i="2"/>
  <c r="X5" i="2"/>
  <c r="X9" i="2"/>
  <c r="S3" i="2"/>
  <c r="V4" i="2"/>
  <c r="Y5" i="2"/>
  <c r="S7" i="2"/>
  <c r="V8" i="2"/>
  <c r="Y9" i="2"/>
  <c r="S11" i="2"/>
  <c r="V12" i="2"/>
  <c r="Y13" i="2"/>
  <c r="T3" i="2"/>
  <c r="W4" i="2"/>
  <c r="Z5" i="2"/>
  <c r="T7" i="2"/>
  <c r="W8" i="2"/>
  <c r="Z9" i="2"/>
  <c r="T11" i="2"/>
  <c r="W12" i="2"/>
  <c r="Z13" i="2"/>
  <c r="AA3" i="2"/>
  <c r="AA4" i="2"/>
  <c r="AA6" i="2"/>
  <c r="AA7" i="2"/>
  <c r="AA8" i="2"/>
  <c r="AA9" i="2"/>
  <c r="AA11" i="2"/>
  <c r="AA12" i="2"/>
  <c r="AA13" i="2"/>
  <c r="AA2" i="2"/>
  <c r="AA5" i="2"/>
  <c r="AA10" i="2"/>
  <c r="AB2" i="2"/>
  <c r="AB3" i="2"/>
  <c r="AB4" i="2"/>
  <c r="AB5" i="2"/>
  <c r="AB6" i="2"/>
  <c r="AB7" i="2"/>
  <c r="AB8" i="2"/>
  <c r="AB9" i="2"/>
  <c r="AB10" i="2"/>
  <c r="AB11" i="2"/>
  <c r="AB12" i="2"/>
  <c r="AB13" i="2"/>
  <c r="AC2" i="2"/>
  <c r="AC3" i="2"/>
  <c r="AC4" i="2"/>
  <c r="AC5" i="2"/>
  <c r="AC6" i="2"/>
  <c r="AC7" i="2"/>
  <c r="AC8" i="2"/>
  <c r="AC9" i="2"/>
  <c r="AC10" i="2"/>
  <c r="AC11" i="2"/>
  <c r="AC12" i="2"/>
  <c r="S4" i="1"/>
  <c r="V4" i="1"/>
  <c r="W4" i="1"/>
  <c r="X4" i="1"/>
  <c r="Y4" i="1"/>
  <c r="Z4" i="1"/>
  <c r="AA4" i="1"/>
  <c r="AB4" i="1"/>
  <c r="AC4" i="1"/>
  <c r="S5" i="1"/>
  <c r="T5" i="1"/>
  <c r="V5" i="1"/>
  <c r="W5" i="1"/>
  <c r="X5" i="1"/>
  <c r="Y5" i="1"/>
  <c r="Z5" i="1"/>
  <c r="AA5" i="1"/>
  <c r="AB5" i="1"/>
  <c r="AC5" i="1"/>
  <c r="S6" i="1"/>
  <c r="T6" i="1"/>
  <c r="V6" i="1"/>
  <c r="W6" i="1"/>
  <c r="X6" i="1"/>
  <c r="Y6" i="1"/>
  <c r="Z6" i="1"/>
  <c r="AA6" i="1"/>
  <c r="AB6" i="1"/>
  <c r="AC6" i="1"/>
  <c r="S7" i="1"/>
  <c r="T7" i="1"/>
  <c r="V7" i="1"/>
  <c r="W7" i="1"/>
  <c r="X7" i="1"/>
  <c r="Y7" i="1"/>
  <c r="Z7" i="1"/>
  <c r="AA7" i="1"/>
  <c r="AB7" i="1"/>
  <c r="AC7" i="1"/>
  <c r="S8" i="1"/>
  <c r="T8" i="1"/>
  <c r="V8" i="1"/>
  <c r="W8" i="1"/>
  <c r="X8" i="1"/>
  <c r="Y8" i="1"/>
  <c r="Z8" i="1"/>
  <c r="AA8" i="1"/>
  <c r="AB8" i="1"/>
  <c r="AC8" i="1"/>
  <c r="S9" i="1"/>
  <c r="T9" i="1"/>
  <c r="V9" i="1"/>
  <c r="W9" i="1"/>
  <c r="X9" i="1"/>
  <c r="Y9" i="1"/>
  <c r="Z9" i="1"/>
  <c r="AA9" i="1"/>
  <c r="AB9" i="1"/>
  <c r="AC9" i="1"/>
  <c r="S10" i="1"/>
  <c r="T10" i="1"/>
  <c r="V10" i="1"/>
  <c r="W10" i="1"/>
  <c r="X10" i="1"/>
  <c r="Y10" i="1"/>
  <c r="Z10" i="1"/>
  <c r="AA10" i="1"/>
  <c r="AB10" i="1"/>
  <c r="AC10" i="1"/>
  <c r="S11" i="1"/>
  <c r="T11" i="1"/>
  <c r="V11" i="1"/>
  <c r="W11" i="1"/>
  <c r="X11" i="1"/>
  <c r="Y11" i="1"/>
  <c r="Z11" i="1"/>
  <c r="AA11" i="1"/>
  <c r="AB11" i="1"/>
  <c r="AC11" i="1"/>
  <c r="S12" i="1"/>
  <c r="T12" i="1"/>
  <c r="V12" i="1"/>
  <c r="W12" i="1"/>
  <c r="X12" i="1"/>
  <c r="Y12" i="1"/>
  <c r="Z12" i="1"/>
  <c r="AA12" i="1"/>
  <c r="AB12" i="1"/>
  <c r="AC12" i="1"/>
  <c r="S13" i="1"/>
  <c r="T13" i="1"/>
  <c r="V13" i="1"/>
  <c r="W13" i="1"/>
  <c r="X13" i="1"/>
  <c r="Y13" i="1"/>
  <c r="Z13" i="1"/>
  <c r="AA13" i="1"/>
  <c r="AB13" i="1"/>
  <c r="AC13" i="1"/>
  <c r="S3" i="1"/>
  <c r="T3" i="1"/>
  <c r="V3" i="1"/>
  <c r="W3" i="1"/>
  <c r="X3" i="1"/>
  <c r="Y3" i="1"/>
  <c r="Z3" i="1"/>
  <c r="AA3" i="1"/>
  <c r="AB3" i="1"/>
  <c r="AC3" i="1"/>
  <c r="T2" i="1"/>
  <c r="U2" i="1"/>
  <c r="W2" i="1"/>
  <c r="X2" i="1"/>
  <c r="Y2" i="1"/>
  <c r="Z2" i="1"/>
  <c r="AA2" i="1"/>
  <c r="AB2" i="1"/>
  <c r="AC2" i="1"/>
  <c r="R2" i="1"/>
  <c r="R4" i="1"/>
  <c r="V2" i="1" l="1"/>
  <c r="U3" i="1"/>
  <c r="U13" i="1"/>
  <c r="U12" i="1"/>
  <c r="U11" i="1"/>
  <c r="U10" i="1"/>
  <c r="U9" i="1"/>
  <c r="U8" i="1"/>
  <c r="U7" i="1"/>
  <c r="U6" i="1"/>
  <c r="U5" i="1"/>
  <c r="U4" i="1"/>
  <c r="S2" i="1"/>
  <c r="R3" i="1"/>
  <c r="R13" i="1"/>
  <c r="R12" i="1"/>
  <c r="R11" i="1"/>
  <c r="R10" i="1"/>
  <c r="R9" i="1"/>
  <c r="R8" i="1"/>
  <c r="R7" i="1"/>
  <c r="R6" i="1"/>
  <c r="R5" i="1"/>
</calcChain>
</file>

<file path=xl/sharedStrings.xml><?xml version="1.0" encoding="utf-8"?>
<sst xmlns="http://schemas.openxmlformats.org/spreadsheetml/2006/main" count="535" uniqueCount="43">
  <si>
    <t>Percentage ispl</t>
  </si>
  <si>
    <t>Sandstone</t>
  </si>
  <si>
    <t>Sandstone /Shale</t>
  </si>
  <si>
    <t>Shale</t>
  </si>
  <si>
    <t>Dolomite</t>
  </si>
  <si>
    <t>Limestone</t>
  </si>
  <si>
    <t>Chalk</t>
  </si>
  <si>
    <t>Halite</t>
  </si>
  <si>
    <t>Tuff</t>
  </si>
  <si>
    <t>Coals</t>
  </si>
  <si>
    <t>Basement</t>
  </si>
  <si>
    <t>Marl</t>
  </si>
  <si>
    <t>Anhydrite</t>
  </si>
  <si>
    <t>Labeled Sandstone</t>
  </si>
  <si>
    <t>Labeled Sandstone /Shale</t>
  </si>
  <si>
    <t>Labeled Shale</t>
  </si>
  <si>
    <t>Labeled Marls</t>
  </si>
  <si>
    <t>Labeled Dolomite</t>
  </si>
  <si>
    <t>Labeled Limestone</t>
  </si>
  <si>
    <t>Labeled Chalk</t>
  </si>
  <si>
    <t>Labeled Halite</t>
  </si>
  <si>
    <t>Labeled Anhydrite</t>
  </si>
  <si>
    <t>Labeled Tuff</t>
  </si>
  <si>
    <t>Labeled Coals</t>
  </si>
  <si>
    <t>Labeled Basement</t>
  </si>
  <si>
    <t>Predicted</t>
  </si>
  <si>
    <t>Percentage Olawale</t>
  </si>
  <si>
    <t>1st Olawale Predicted</t>
  </si>
  <si>
    <t>2ndGIR Predicted</t>
  </si>
  <si>
    <t>4th H3G Predicted</t>
  </si>
  <si>
    <t>5th Ispl  Predicted</t>
  </si>
  <si>
    <t>6th Jose Bermudez  Predicted</t>
  </si>
  <si>
    <t>reality interpreted</t>
  </si>
  <si>
    <t>Sandstone/Shale</t>
  </si>
  <si>
    <t>Coal</t>
  </si>
  <si>
    <t>Crystalline Basement</t>
  </si>
  <si>
    <t>Differential score olawale GIR</t>
  </si>
  <si>
    <t>differential score olawale H3G</t>
  </si>
  <si>
    <t>3rd ICA  Predicted</t>
  </si>
  <si>
    <t>Olwale /H3G comparison</t>
  </si>
  <si>
    <t>Olwale /GIR comparison</t>
  </si>
  <si>
    <t>Percentage Bohdan</t>
  </si>
  <si>
    <t>Percentage David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</si>
</sst>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;\-0.0;;@"/>
    <numFmt numFmtId="165" formatCode="0;\-0;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CB379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ED880"/>
        <bgColor indexed="64"/>
      </patternFill>
    </fill>
    <fill>
      <patternFill patternType="solid">
        <fgColor rgb="FFB1D580"/>
        <bgColor indexed="64"/>
      </patternFill>
    </fill>
    <fill>
      <patternFill patternType="solid">
        <fgColor rgb="FFFDC57C"/>
        <bgColor indexed="64"/>
      </patternFill>
    </fill>
    <fill>
      <patternFill patternType="solid">
        <fgColor rgb="FF8ACA7E"/>
        <bgColor indexed="64"/>
      </patternFill>
    </fill>
    <fill>
      <patternFill patternType="solid">
        <fgColor rgb="FFFEE182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CC17B"/>
        <bgColor indexed="64"/>
      </patternFill>
    </fill>
    <fill>
      <patternFill patternType="solid">
        <fgColor rgb="FFFDCF7E"/>
        <bgColor indexed="64"/>
      </patternFill>
    </fill>
    <fill>
      <patternFill patternType="solid">
        <fgColor rgb="FFFCBC7B"/>
        <bgColor indexed="64"/>
      </patternFill>
    </fill>
    <fill>
      <patternFill patternType="solid">
        <fgColor rgb="FFFEE683"/>
        <bgColor indexed="64"/>
      </patternFill>
    </fill>
    <fill>
      <patternFill patternType="solid">
        <fgColor rgb="FFFDCA7D"/>
        <bgColor indexed="64"/>
      </patternFill>
    </fill>
    <fill>
      <patternFill patternType="solid">
        <fgColor rgb="FFFDD37F"/>
        <bgColor indexed="64"/>
      </patternFill>
    </fill>
    <fill>
      <patternFill patternType="solid">
        <fgColor rgb="FFD8E082"/>
        <bgColor indexed="64"/>
      </patternFill>
    </fill>
    <fill>
      <patternFill patternType="solid">
        <fgColor rgb="FFFA9C74"/>
        <bgColor indexed="64"/>
      </patternFill>
    </fill>
    <fill>
      <patternFill patternType="solid">
        <fgColor rgb="FFFEDD8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5">
    <xf numFmtId="0" fontId="0" fillId="0" borderId="0" xfId="0"/>
    <xf numFmtId="2" fontId="0" fillId="0" borderId="0" xfId="0" applyNumberFormat="1"/>
    <xf numFmtId="0" fontId="0" fillId="0" borderId="10" xfId="0" applyBorder="1"/>
    <xf numFmtId="0" fontId="0" fillId="0" borderId="0" xfId="0" applyAlignment="1"/>
    <xf numFmtId="2" fontId="0" fillId="0" borderId="0" xfId="0" applyNumberFormat="1" applyAlignment="1"/>
    <xf numFmtId="0" fontId="0" fillId="0" borderId="0" xfId="0" applyAlignment="1">
      <alignment textRotation="90"/>
    </xf>
    <xf numFmtId="2" fontId="0" fillId="0" borderId="0" xfId="0" applyNumberFormat="1" applyAlignment="1">
      <alignment textRotation="90"/>
    </xf>
    <xf numFmtId="1" fontId="0" fillId="0" borderId="10" xfId="0" applyNumberFormat="1" applyBorder="1" applyAlignment="1">
      <alignment horizontal="center" vertical="center"/>
    </xf>
    <xf numFmtId="1" fontId="0" fillId="0" borderId="0" xfId="0" applyNumberFormat="1"/>
    <xf numFmtId="0" fontId="18" fillId="0" borderId="0" xfId="0" applyFont="1" applyAlignment="1">
      <alignment wrapText="1"/>
    </xf>
    <xf numFmtId="0" fontId="19" fillId="0" borderId="11" xfId="0" applyFont="1" applyBorder="1" applyAlignment="1">
      <alignment horizontal="center" vertical="center" wrapText="1"/>
    </xf>
    <xf numFmtId="0" fontId="20" fillId="33" borderId="12" xfId="0" applyFont="1" applyFill="1" applyBorder="1" applyAlignment="1">
      <alignment wrapText="1"/>
    </xf>
    <xf numFmtId="0" fontId="20" fillId="33" borderId="13" xfId="0" applyFont="1" applyFill="1" applyBorder="1" applyAlignment="1">
      <alignment horizontal="center" wrapText="1"/>
    </xf>
    <xf numFmtId="0" fontId="7" fillId="34" borderId="14" xfId="0" applyFont="1" applyFill="1" applyBorder="1" applyAlignment="1">
      <alignment horizontal="right" wrapText="1"/>
    </xf>
    <xf numFmtId="0" fontId="7" fillId="35" borderId="14" xfId="0" applyFont="1" applyFill="1" applyBorder="1" applyAlignment="1">
      <alignment horizontal="right" wrapText="1"/>
    </xf>
    <xf numFmtId="0" fontId="7" fillId="36" borderId="14" xfId="0" applyFont="1" applyFill="1" applyBorder="1" applyAlignment="1">
      <alignment horizontal="right" wrapText="1"/>
    </xf>
    <xf numFmtId="0" fontId="7" fillId="37" borderId="14" xfId="0" applyFont="1" applyFill="1" applyBorder="1" applyAlignment="1">
      <alignment horizontal="right" wrapText="1"/>
    </xf>
    <xf numFmtId="0" fontId="7" fillId="38" borderId="14" xfId="0" applyFont="1" applyFill="1" applyBorder="1" applyAlignment="1">
      <alignment horizontal="right" wrapText="1"/>
    </xf>
    <xf numFmtId="0" fontId="7" fillId="39" borderId="14" xfId="0" applyFont="1" applyFill="1" applyBorder="1" applyAlignment="1">
      <alignment horizontal="right" wrapText="1"/>
    </xf>
    <xf numFmtId="0" fontId="7" fillId="40" borderId="14" xfId="0" applyFont="1" applyFill="1" applyBorder="1" applyAlignment="1">
      <alignment horizontal="right" wrapText="1"/>
    </xf>
    <xf numFmtId="0" fontId="7" fillId="41" borderId="14" xfId="0" applyFont="1" applyFill="1" applyBorder="1" applyAlignment="1">
      <alignment horizontal="right" wrapText="1"/>
    </xf>
    <xf numFmtId="0" fontId="7" fillId="42" borderId="14" xfId="0" applyFont="1" applyFill="1" applyBorder="1" applyAlignment="1">
      <alignment horizontal="right" wrapText="1"/>
    </xf>
    <xf numFmtId="0" fontId="7" fillId="43" borderId="14" xfId="0" applyFont="1" applyFill="1" applyBorder="1" applyAlignment="1">
      <alignment horizontal="right" wrapText="1"/>
    </xf>
    <xf numFmtId="0" fontId="7" fillId="44" borderId="14" xfId="0" applyFont="1" applyFill="1" applyBorder="1" applyAlignment="1">
      <alignment horizontal="right" wrapText="1"/>
    </xf>
    <xf numFmtId="0" fontId="7" fillId="45" borderId="14" xfId="0" applyFont="1" applyFill="1" applyBorder="1" applyAlignment="1">
      <alignment horizontal="right" wrapText="1"/>
    </xf>
    <xf numFmtId="0" fontId="7" fillId="46" borderId="14" xfId="0" applyFont="1" applyFill="1" applyBorder="1" applyAlignment="1">
      <alignment horizontal="right" wrapText="1"/>
    </xf>
    <xf numFmtId="0" fontId="7" fillId="47" borderId="14" xfId="0" applyFont="1" applyFill="1" applyBorder="1" applyAlignment="1">
      <alignment horizontal="right" wrapText="1"/>
    </xf>
    <xf numFmtId="0" fontId="7" fillId="48" borderId="14" xfId="0" applyFont="1" applyFill="1" applyBorder="1" applyAlignment="1">
      <alignment horizontal="right" wrapText="1"/>
    </xf>
    <xf numFmtId="0" fontId="7" fillId="49" borderId="14" xfId="0" applyFont="1" applyFill="1" applyBorder="1" applyAlignment="1">
      <alignment horizontal="right" wrapText="1"/>
    </xf>
    <xf numFmtId="0" fontId="7" fillId="50" borderId="14" xfId="0" applyFont="1" applyFill="1" applyBorder="1" applyAlignment="1">
      <alignment horizontal="right" wrapText="1"/>
    </xf>
    <xf numFmtId="0" fontId="7" fillId="51" borderId="14" xfId="0" applyFont="1" applyFill="1" applyBorder="1" applyAlignment="1">
      <alignment horizontal="right" wrapText="1"/>
    </xf>
    <xf numFmtId="164" fontId="0" fillId="0" borderId="0" xfId="0" applyNumberFormat="1"/>
    <xf numFmtId="164" fontId="0" fillId="0" borderId="0" xfId="0" applyNumberFormat="1" applyAlignment="1">
      <alignment textRotation="90"/>
    </xf>
    <xf numFmtId="164" fontId="18" fillId="0" borderId="0" xfId="0" applyNumberFormat="1" applyFont="1" applyAlignment="1">
      <alignment wrapText="1"/>
    </xf>
    <xf numFmtId="164" fontId="0" fillId="0" borderId="10" xfId="0" applyNumberFormat="1" applyBorder="1" applyAlignment="1">
      <alignment horizontal="center" vertical="center"/>
    </xf>
    <xf numFmtId="164" fontId="0" fillId="0" borderId="0" xfId="0" applyNumberFormat="1" applyAlignment="1"/>
    <xf numFmtId="0" fontId="18" fillId="52" borderId="0" xfId="0" applyFont="1" applyFill="1" applyAlignment="1">
      <alignment wrapText="1"/>
    </xf>
    <xf numFmtId="164" fontId="18" fillId="53" borderId="0" xfId="0" applyNumberFormat="1" applyFont="1" applyFill="1" applyAlignment="1">
      <alignment wrapText="1"/>
    </xf>
    <xf numFmtId="0" fontId="18" fillId="54" borderId="0" xfId="0" applyFont="1" applyFill="1" applyAlignment="1">
      <alignment wrapText="1"/>
    </xf>
    <xf numFmtId="164" fontId="0" fillId="0" borderId="10" xfId="0" applyNumberFormat="1" applyBorder="1" applyAlignment="1">
      <alignment textRotation="90"/>
    </xf>
    <xf numFmtId="0" fontId="0" fillId="0" borderId="10" xfId="0" applyBorder="1" applyAlignment="1"/>
    <xf numFmtId="165" fontId="0" fillId="0" borderId="10" xfId="0" applyNumberFormat="1" applyBorder="1"/>
    <xf numFmtId="2" fontId="0" fillId="0" borderId="10" xfId="0" applyNumberFormat="1" applyBorder="1" applyAlignment="1"/>
    <xf numFmtId="164" fontId="0" fillId="0" borderId="10" xfId="0" applyNumberFormat="1" applyBorder="1" applyAlignment="1">
      <alignment vertic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B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B83DA-21E0-4A89-B3B3-DD59AB847500}">
  <dimension ref="A2:AE31"/>
  <sheetViews>
    <sheetView tabSelected="1" workbookViewId="0">
      <selection activeCell="O32" sqref="O32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178837</v>
      </c>
      <c r="C2" s="7">
        <v>11210</v>
      </c>
      <c r="D2" s="7">
        <v>15267</v>
      </c>
      <c r="E2" s="7">
        <v>281</v>
      </c>
      <c r="F2" s="7">
        <v>0</v>
      </c>
      <c r="G2" s="7">
        <v>1054</v>
      </c>
      <c r="H2" s="7">
        <v>1</v>
      </c>
      <c r="I2" s="7">
        <v>0</v>
      </c>
      <c r="J2" s="7">
        <v>0</v>
      </c>
      <c r="K2" s="7">
        <v>288</v>
      </c>
      <c r="L2" s="7">
        <v>92</v>
      </c>
      <c r="M2" s="7">
        <v>0</v>
      </c>
      <c r="O2" s="8">
        <f>SUM(B2:M13)</f>
        <v>1429694</v>
      </c>
      <c r="R2" s="7">
        <f>B2/$O$2*100</f>
        <v>12.508760615908018</v>
      </c>
      <c r="S2" s="7">
        <f t="shared" ref="S2:AC13" si="0">C2/$O$2*100</f>
        <v>0.78408386689739207</v>
      </c>
      <c r="T2" s="7">
        <f t="shared" si="0"/>
        <v>1.0678508827763145</v>
      </c>
      <c r="U2" s="7">
        <f t="shared" si="0"/>
        <v>1.9654555450327134E-2</v>
      </c>
      <c r="V2" s="7">
        <f t="shared" si="0"/>
        <v>0</v>
      </c>
      <c r="W2" s="7">
        <f t="shared" si="0"/>
        <v>7.3722069198024195E-2</v>
      </c>
      <c r="X2" s="7">
        <f t="shared" si="0"/>
        <v>6.9945037189776265E-5</v>
      </c>
      <c r="Y2" s="7">
        <f t="shared" si="0"/>
        <v>0</v>
      </c>
      <c r="Z2" s="7">
        <f t="shared" si="0"/>
        <v>0</v>
      </c>
      <c r="AA2" s="7">
        <f t="shared" si="0"/>
        <v>2.0144170710655565E-2</v>
      </c>
      <c r="AB2" s="7">
        <f t="shared" si="0"/>
        <v>6.4349434214594171E-3</v>
      </c>
      <c r="AC2" s="7">
        <f t="shared" si="0"/>
        <v>0</v>
      </c>
    </row>
    <row r="3" spans="2:29" x14ac:dyDescent="0.25">
      <c r="B3" s="7">
        <v>17277</v>
      </c>
      <c r="C3" s="7">
        <v>113170</v>
      </c>
      <c r="D3" s="7">
        <v>48482</v>
      </c>
      <c r="E3" s="7">
        <v>438</v>
      </c>
      <c r="F3" s="7">
        <v>0</v>
      </c>
      <c r="G3" s="7">
        <v>518</v>
      </c>
      <c r="H3" s="7">
        <v>0</v>
      </c>
      <c r="I3" s="7">
        <v>0</v>
      </c>
      <c r="J3" s="7">
        <v>0</v>
      </c>
      <c r="K3" s="7">
        <v>301</v>
      </c>
      <c r="L3" s="7">
        <v>110</v>
      </c>
      <c r="M3" s="7">
        <v>0</v>
      </c>
      <c r="R3" s="7">
        <f t="shared" ref="R3:R13" si="1">B3/$O$2*100</f>
        <v>1.2084404075277646</v>
      </c>
      <c r="S3" s="7">
        <f t="shared" si="0"/>
        <v>7.9156798587669801</v>
      </c>
      <c r="T3" s="7">
        <f t="shared" si="0"/>
        <v>3.3910752930347337</v>
      </c>
      <c r="U3" s="7">
        <f t="shared" si="0"/>
        <v>3.0635926289122012E-2</v>
      </c>
      <c r="V3" s="7">
        <f t="shared" si="0"/>
        <v>0</v>
      </c>
      <c r="W3" s="7">
        <f t="shared" si="0"/>
        <v>3.6231529264304105E-2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2.1053456194122657E-2</v>
      </c>
      <c r="AB3" s="7">
        <f t="shared" si="0"/>
        <v>7.6939540908753908E-3</v>
      </c>
      <c r="AC3" s="7">
        <f t="shared" si="0"/>
        <v>0</v>
      </c>
    </row>
    <row r="4" spans="2:29" x14ac:dyDescent="0.25">
      <c r="B4" s="7">
        <v>6292</v>
      </c>
      <c r="C4" s="7">
        <v>12937</v>
      </c>
      <c r="D4" s="7">
        <v>849536</v>
      </c>
      <c r="E4" s="7">
        <v>3154</v>
      </c>
      <c r="F4" s="7">
        <v>15</v>
      </c>
      <c r="G4" s="7">
        <v>2432</v>
      </c>
      <c r="H4" s="7">
        <v>109</v>
      </c>
      <c r="I4" s="7">
        <v>65</v>
      </c>
      <c r="J4" s="7">
        <v>17</v>
      </c>
      <c r="K4" s="7">
        <v>1831</v>
      </c>
      <c r="L4" s="7">
        <v>217</v>
      </c>
      <c r="M4" s="7">
        <v>0</v>
      </c>
      <c r="R4" s="7">
        <f t="shared" si="1"/>
        <v>0.44009417399807227</v>
      </c>
      <c r="S4" s="7">
        <f t="shared" si="0"/>
        <v>0.90487894612413577</v>
      </c>
      <c r="T4" s="7">
        <f>D4/$O$2*100</f>
        <v>59.420827114053779</v>
      </c>
      <c r="U4" s="7">
        <f t="shared" si="0"/>
        <v>0.22060664729655435</v>
      </c>
      <c r="V4" s="7">
        <f t="shared" si="0"/>
        <v>1.0491755578466439E-3</v>
      </c>
      <c r="W4" s="7">
        <f t="shared" si="0"/>
        <v>0.17010633044553589</v>
      </c>
      <c r="X4" s="7">
        <f t="shared" si="0"/>
        <v>7.6240090536856143E-3</v>
      </c>
      <c r="Y4" s="7">
        <f t="shared" si="0"/>
        <v>4.5464274173354574E-3</v>
      </c>
      <c r="Z4" s="7">
        <f t="shared" si="0"/>
        <v>1.1890656322261965E-3</v>
      </c>
      <c r="AA4" s="7">
        <f t="shared" si="0"/>
        <v>0.12806936309448036</v>
      </c>
      <c r="AB4" s="7">
        <f t="shared" si="0"/>
        <v>1.5178073070181453E-2</v>
      </c>
      <c r="AC4" s="7">
        <f t="shared" si="0"/>
        <v>0</v>
      </c>
    </row>
    <row r="5" spans="2:29" x14ac:dyDescent="0.25">
      <c r="B5" s="7">
        <v>494</v>
      </c>
      <c r="C5" s="7">
        <v>1133</v>
      </c>
      <c r="D5" s="7">
        <v>8191</v>
      </c>
      <c r="E5" s="7">
        <v>26635</v>
      </c>
      <c r="F5" s="7">
        <v>0</v>
      </c>
      <c r="G5" s="7">
        <v>4250</v>
      </c>
      <c r="H5" s="7">
        <v>325</v>
      </c>
      <c r="I5" s="7">
        <v>0</v>
      </c>
      <c r="J5" s="7">
        <v>0</v>
      </c>
      <c r="K5" s="7">
        <v>1</v>
      </c>
      <c r="L5" s="7">
        <v>2</v>
      </c>
      <c r="M5" s="7">
        <v>0</v>
      </c>
      <c r="R5" s="7">
        <f t="shared" si="1"/>
        <v>3.4552848371749476E-2</v>
      </c>
      <c r="S5" s="7">
        <f t="shared" si="0"/>
        <v>7.9247727136016521E-2</v>
      </c>
      <c r="T5" s="7">
        <f t="shared" si="0"/>
        <v>0.57291979962145745</v>
      </c>
      <c r="U5" s="7">
        <f t="shared" si="0"/>
        <v>1.8629860655496913</v>
      </c>
      <c r="V5" s="7">
        <f t="shared" si="0"/>
        <v>0</v>
      </c>
      <c r="W5" s="7">
        <f t="shared" si="0"/>
        <v>0.29726640805654914</v>
      </c>
      <c r="X5" s="7">
        <f t="shared" si="0"/>
        <v>2.273213708667729E-2</v>
      </c>
      <c r="Y5" s="7">
        <f t="shared" si="0"/>
        <v>0</v>
      </c>
      <c r="Z5" s="7">
        <f t="shared" si="0"/>
        <v>0</v>
      </c>
      <c r="AA5" s="7">
        <f t="shared" si="0"/>
        <v>6.9945037189776265E-5</v>
      </c>
      <c r="AB5" s="7">
        <f t="shared" si="0"/>
        <v>1.3989007437955253E-4</v>
      </c>
      <c r="AC5" s="7">
        <f t="shared" si="0"/>
        <v>0</v>
      </c>
    </row>
    <row r="6" spans="2:29" x14ac:dyDescent="0.25">
      <c r="B6" s="7">
        <v>143</v>
      </c>
      <c r="C6" s="7">
        <v>123</v>
      </c>
      <c r="D6" s="7">
        <v>1537</v>
      </c>
      <c r="E6" s="7">
        <v>17</v>
      </c>
      <c r="F6" s="7">
        <v>100</v>
      </c>
      <c r="G6" s="7">
        <v>293</v>
      </c>
      <c r="H6" s="7">
        <v>0</v>
      </c>
      <c r="I6" s="7">
        <v>2</v>
      </c>
      <c r="J6" s="7">
        <v>174</v>
      </c>
      <c r="K6" s="7">
        <v>2</v>
      </c>
      <c r="L6" s="7">
        <v>0</v>
      </c>
      <c r="M6" s="7">
        <v>0</v>
      </c>
      <c r="R6" s="7">
        <f t="shared" si="1"/>
        <v>1.0002140318138007E-2</v>
      </c>
      <c r="S6" s="7">
        <f t="shared" si="0"/>
        <v>8.6032395743424819E-3</v>
      </c>
      <c r="T6" s="7">
        <f t="shared" si="0"/>
        <v>0.10750552216068612</v>
      </c>
      <c r="U6" s="7">
        <f t="shared" si="0"/>
        <v>1.1890656322261965E-3</v>
      </c>
      <c r="V6" s="7">
        <f t="shared" si="0"/>
        <v>6.9945037189776274E-3</v>
      </c>
      <c r="W6" s="7">
        <f t="shared" si="0"/>
        <v>2.0493895896604448E-2</v>
      </c>
      <c r="X6" s="7">
        <f t="shared" si="0"/>
        <v>0</v>
      </c>
      <c r="Y6" s="7">
        <f t="shared" si="0"/>
        <v>1.3989007437955253E-4</v>
      </c>
      <c r="Z6" s="7">
        <f t="shared" si="0"/>
        <v>1.2170436471021073E-2</v>
      </c>
      <c r="AA6" s="7">
        <f t="shared" si="0"/>
        <v>1.3989007437955253E-4</v>
      </c>
      <c r="AB6" s="7">
        <f t="shared" si="0"/>
        <v>0</v>
      </c>
      <c r="AC6" s="7">
        <f t="shared" si="0"/>
        <v>0</v>
      </c>
    </row>
    <row r="7" spans="2:29" x14ac:dyDescent="0.25">
      <c r="B7" s="7">
        <v>3710</v>
      </c>
      <c r="C7" s="7">
        <v>2334</v>
      </c>
      <c r="D7" s="7">
        <v>11808</v>
      </c>
      <c r="E7" s="7">
        <v>2984</v>
      </c>
      <c r="F7" s="7">
        <v>1</v>
      </c>
      <c r="G7" s="7">
        <v>47190</v>
      </c>
      <c r="H7" s="7">
        <v>858</v>
      </c>
      <c r="I7" s="7">
        <v>0</v>
      </c>
      <c r="J7" s="7">
        <v>27</v>
      </c>
      <c r="K7" s="7">
        <v>580</v>
      </c>
      <c r="L7" s="7">
        <v>0</v>
      </c>
      <c r="M7" s="7">
        <v>0</v>
      </c>
      <c r="R7" s="7">
        <f t="shared" si="1"/>
        <v>0.25949608797406998</v>
      </c>
      <c r="S7" s="7">
        <f t="shared" si="0"/>
        <v>0.16325171680093783</v>
      </c>
      <c r="T7" s="7">
        <f t="shared" si="0"/>
        <v>0.82591099913687827</v>
      </c>
      <c r="U7" s="7">
        <f t="shared" si="0"/>
        <v>0.20871599097429241</v>
      </c>
      <c r="V7" s="7">
        <f t="shared" si="0"/>
        <v>6.9945037189776265E-5</v>
      </c>
      <c r="W7" s="7">
        <f t="shared" si="0"/>
        <v>3.3007063049855421</v>
      </c>
      <c r="X7" s="7">
        <f t="shared" si="0"/>
        <v>6.0012841908828045E-2</v>
      </c>
      <c r="Y7" s="7">
        <f t="shared" si="0"/>
        <v>0</v>
      </c>
      <c r="Z7" s="7">
        <f t="shared" si="0"/>
        <v>1.8885160041239594E-3</v>
      </c>
      <c r="AA7" s="7">
        <f t="shared" si="0"/>
        <v>4.056812157007024E-2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87</v>
      </c>
      <c r="C8" s="7">
        <v>0</v>
      </c>
      <c r="D8" s="7">
        <v>6</v>
      </c>
      <c r="E8" s="7">
        <v>60</v>
      </c>
      <c r="F8" s="7">
        <v>0</v>
      </c>
      <c r="G8" s="7">
        <v>3236</v>
      </c>
      <c r="H8" s="7">
        <v>10654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6.0852182355105363E-3</v>
      </c>
      <c r="S8" s="7">
        <f t="shared" si="0"/>
        <v>0</v>
      </c>
      <c r="T8" s="7">
        <f t="shared" si="0"/>
        <v>4.1967022313865764E-4</v>
      </c>
      <c r="U8" s="7">
        <f t="shared" si="0"/>
        <v>4.1967022313865758E-3</v>
      </c>
      <c r="V8" s="7">
        <f t="shared" si="0"/>
        <v>0</v>
      </c>
      <c r="W8" s="7">
        <f t="shared" si="0"/>
        <v>0.22634214034611602</v>
      </c>
      <c r="X8" s="7">
        <f t="shared" si="0"/>
        <v>0.74519442621987642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1</v>
      </c>
      <c r="C9" s="7">
        <v>0</v>
      </c>
      <c r="D9" s="7">
        <v>60</v>
      </c>
      <c r="E9" s="7">
        <v>0</v>
      </c>
      <c r="F9" s="7">
        <v>3</v>
      </c>
      <c r="G9" s="7">
        <v>4</v>
      </c>
      <c r="H9" s="7">
        <v>0</v>
      </c>
      <c r="I9" s="7">
        <v>14619</v>
      </c>
      <c r="J9" s="7">
        <v>24</v>
      </c>
      <c r="K9" s="7">
        <v>0</v>
      </c>
      <c r="L9" s="7">
        <v>0</v>
      </c>
      <c r="M9" s="7">
        <v>0</v>
      </c>
      <c r="R9" s="7">
        <f t="shared" si="1"/>
        <v>6.9945037189776265E-5</v>
      </c>
      <c r="S9" s="7">
        <f t="shared" si="0"/>
        <v>0</v>
      </c>
      <c r="T9" s="7">
        <f t="shared" si="0"/>
        <v>4.1967022313865758E-3</v>
      </c>
      <c r="U9" s="7">
        <f t="shared" si="0"/>
        <v>0</v>
      </c>
      <c r="V9" s="7">
        <f t="shared" si="0"/>
        <v>2.0983511156932882E-4</v>
      </c>
      <c r="W9" s="7">
        <f t="shared" si="0"/>
        <v>2.7978014875910506E-4</v>
      </c>
      <c r="X9" s="7">
        <f t="shared" si="0"/>
        <v>0</v>
      </c>
      <c r="Y9" s="7">
        <f t="shared" si="0"/>
        <v>1.0225264986773392</v>
      </c>
      <c r="Z9" s="7">
        <f t="shared" si="0"/>
        <v>1.6786808925546306E-3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35</v>
      </c>
      <c r="C10" s="7">
        <v>6</v>
      </c>
      <c r="D10" s="7">
        <v>85</v>
      </c>
      <c r="E10" s="7">
        <v>0</v>
      </c>
      <c r="F10" s="7">
        <v>11</v>
      </c>
      <c r="G10" s="7">
        <v>164</v>
      </c>
      <c r="H10" s="7">
        <v>0</v>
      </c>
      <c r="I10" s="7">
        <v>96</v>
      </c>
      <c r="J10" s="7">
        <v>1410</v>
      </c>
      <c r="K10" s="7">
        <v>0</v>
      </c>
      <c r="L10" s="7">
        <v>0</v>
      </c>
      <c r="M10" s="7">
        <v>0</v>
      </c>
      <c r="R10" s="7">
        <f t="shared" si="1"/>
        <v>2.4480763016421696E-3</v>
      </c>
      <c r="S10" s="7">
        <f t="shared" si="0"/>
        <v>4.1967022313865764E-4</v>
      </c>
      <c r="T10" s="7">
        <f t="shared" si="0"/>
        <v>5.9453281611309833E-3</v>
      </c>
      <c r="U10" s="7">
        <f t="shared" si="0"/>
        <v>0</v>
      </c>
      <c r="V10" s="7">
        <f t="shared" si="0"/>
        <v>7.6939540908753899E-4</v>
      </c>
      <c r="W10" s="7">
        <f t="shared" si="0"/>
        <v>1.1470986099123309E-2</v>
      </c>
      <c r="X10" s="7">
        <f t="shared" si="0"/>
        <v>0</v>
      </c>
      <c r="Y10" s="7">
        <f t="shared" si="0"/>
        <v>6.7147235702185223E-3</v>
      </c>
      <c r="Z10" s="7">
        <f t="shared" si="0"/>
        <v>9.8622502437584539E-2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308</v>
      </c>
      <c r="C11" s="7">
        <v>0</v>
      </c>
      <c r="D11" s="7">
        <v>2305</v>
      </c>
      <c r="E11" s="7">
        <v>0</v>
      </c>
      <c r="F11" s="7">
        <v>0</v>
      </c>
      <c r="G11" s="7">
        <v>34</v>
      </c>
      <c r="H11" s="7">
        <v>0</v>
      </c>
      <c r="I11" s="7">
        <v>0</v>
      </c>
      <c r="J11" s="7">
        <v>0</v>
      </c>
      <c r="K11" s="7">
        <v>14784</v>
      </c>
      <c r="L11" s="7">
        <v>0</v>
      </c>
      <c r="M11" s="7">
        <v>0</v>
      </c>
      <c r="R11" s="7">
        <f t="shared" si="1"/>
        <v>2.1543071454451092E-2</v>
      </c>
      <c r="S11" s="7">
        <f t="shared" si="0"/>
        <v>0</v>
      </c>
      <c r="T11" s="7">
        <f t="shared" si="0"/>
        <v>0.16122331072243432</v>
      </c>
      <c r="U11" s="7">
        <f t="shared" si="0"/>
        <v>0</v>
      </c>
      <c r="V11" s="7">
        <f t="shared" si="0"/>
        <v>0</v>
      </c>
      <c r="W11" s="7">
        <f t="shared" si="0"/>
        <v>2.3781312644523931E-3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1.0340674298136523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812</v>
      </c>
      <c r="C12" s="7">
        <v>172</v>
      </c>
      <c r="D12" s="7">
        <v>1407</v>
      </c>
      <c r="E12" s="7">
        <v>0</v>
      </c>
      <c r="F12" s="7">
        <v>0</v>
      </c>
      <c r="G12" s="7">
        <v>2</v>
      </c>
      <c r="H12" s="7">
        <v>0</v>
      </c>
      <c r="I12" s="7">
        <v>0</v>
      </c>
      <c r="J12" s="7">
        <v>0</v>
      </c>
      <c r="K12" s="7">
        <v>0</v>
      </c>
      <c r="L12" s="7">
        <v>2361</v>
      </c>
      <c r="M12" s="7">
        <v>0</v>
      </c>
      <c r="R12" s="7">
        <f t="shared" si="1"/>
        <v>5.6795370198098341E-2</v>
      </c>
      <c r="S12" s="7">
        <f t="shared" si="0"/>
        <v>1.203054639664152E-2</v>
      </c>
      <c r="T12" s="7">
        <f t="shared" si="0"/>
        <v>9.841266732601521E-2</v>
      </c>
      <c r="U12" s="7">
        <f t="shared" si="0"/>
        <v>0</v>
      </c>
      <c r="V12" s="7">
        <f t="shared" si="0"/>
        <v>0</v>
      </c>
      <c r="W12" s="7">
        <f t="shared" si="0"/>
        <v>1.3989007437955253E-4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0.16514023280506179</v>
      </c>
      <c r="AC12" s="7">
        <f t="shared" si="0"/>
        <v>0</v>
      </c>
    </row>
    <row r="13" spans="2:29" x14ac:dyDescent="0.25">
      <c r="B13" s="7">
        <v>50</v>
      </c>
      <c r="C13" s="7">
        <v>22</v>
      </c>
      <c r="D13" s="7">
        <v>16</v>
      </c>
      <c r="E13" s="7">
        <v>0</v>
      </c>
      <c r="F13" s="7">
        <v>0</v>
      </c>
      <c r="G13" s="7">
        <v>15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3.4972518594888137E-3</v>
      </c>
      <c r="S13" s="7">
        <f t="shared" si="0"/>
        <v>1.538790818175078E-3</v>
      </c>
      <c r="T13" s="7">
        <f t="shared" si="0"/>
        <v>1.1191205950364202E-3</v>
      </c>
      <c r="U13" s="7">
        <f t="shared" si="0"/>
        <v>0</v>
      </c>
      <c r="V13" s="7">
        <f t="shared" si="0"/>
        <v>0</v>
      </c>
      <c r="W13" s="7">
        <f t="shared" si="0"/>
        <v>1.0491755578466439E-3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85.960316468473323</v>
      </c>
      <c r="C19" s="7">
        <f t="shared" ref="C19:M19" si="2">IFERROR(C2/SUM(C$2:C$13)*100,0)</f>
        <v>7.9443259370548596</v>
      </c>
      <c r="D19" s="7">
        <f t="shared" si="2"/>
        <v>1.6263982102908279</v>
      </c>
      <c r="E19" s="7">
        <f t="shared" si="2"/>
        <v>0.83708183145163695</v>
      </c>
      <c r="F19" s="7">
        <f t="shared" si="2"/>
        <v>0</v>
      </c>
      <c r="G19" s="7">
        <f t="shared" si="2"/>
        <v>1.7806460332477361</v>
      </c>
      <c r="H19" s="7">
        <f t="shared" si="2"/>
        <v>8.3703021679082616E-3</v>
      </c>
      <c r="I19" s="7">
        <f t="shared" si="2"/>
        <v>0</v>
      </c>
      <c r="J19" s="7">
        <f t="shared" si="2"/>
        <v>0</v>
      </c>
      <c r="K19" s="7">
        <f t="shared" si="2"/>
        <v>1.6191600607185022</v>
      </c>
      <c r="L19" s="7">
        <f t="shared" si="2"/>
        <v>3.3069734004313442</v>
      </c>
      <c r="M19" s="7">
        <f t="shared" si="2"/>
        <v>0</v>
      </c>
      <c r="R19">
        <f>B2*'scoring matrix'!C4</f>
        <v>0</v>
      </c>
      <c r="S19">
        <f>C2*'scoring matrix'!D4</f>
        <v>22420</v>
      </c>
      <c r="T19">
        <f>D2*'scoring matrix'!E4</f>
        <v>53434.5</v>
      </c>
      <c r="U19">
        <f>E2*'scoring matrix'!F4</f>
        <v>843</v>
      </c>
      <c r="V19">
        <f>F2*'scoring matrix'!G4</f>
        <v>0</v>
      </c>
      <c r="W19">
        <f>G2*'scoring matrix'!H4</f>
        <v>3689</v>
      </c>
      <c r="X19">
        <f>H2*'scoring matrix'!I4</f>
        <v>3.5</v>
      </c>
      <c r="Y19">
        <f>I2*'scoring matrix'!J4</f>
        <v>0</v>
      </c>
      <c r="Z19">
        <f>J2*'scoring matrix'!K4</f>
        <v>0</v>
      </c>
      <c r="AA19">
        <f>K2*'scoring matrix'!L4</f>
        <v>720</v>
      </c>
      <c r="AB19">
        <f>L2*'scoring matrix'!M4</f>
        <v>356.5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8.304413447026139</v>
      </c>
      <c r="C20" s="7">
        <f t="shared" si="3"/>
        <v>80.201549178991826</v>
      </c>
      <c r="D20" s="7">
        <f t="shared" si="3"/>
        <v>5.1648023862788968</v>
      </c>
      <c r="E20" s="7">
        <f t="shared" si="3"/>
        <v>1.304775239059847</v>
      </c>
      <c r="F20" s="7">
        <f t="shared" si="3"/>
        <v>0</v>
      </c>
      <c r="G20" s="7">
        <f t="shared" si="3"/>
        <v>0.87511825922421937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1.6922471467926012</v>
      </c>
      <c r="L20" s="7">
        <f t="shared" si="3"/>
        <v>3.9539899352983463</v>
      </c>
      <c r="M20" s="7">
        <f t="shared" si="3"/>
        <v>0</v>
      </c>
      <c r="R20">
        <f>B3*'scoring matrix'!C5</f>
        <v>34554</v>
      </c>
      <c r="S20">
        <f>C3*'scoring matrix'!D5</f>
        <v>0</v>
      </c>
      <c r="T20">
        <f>D3*'scoring matrix'!E5</f>
        <v>115144.75</v>
      </c>
      <c r="U20">
        <f>E3*'scoring matrix'!F5</f>
        <v>1204.5</v>
      </c>
      <c r="V20">
        <f>F3*'scoring matrix'!G5</f>
        <v>0</v>
      </c>
      <c r="W20">
        <f>G3*'scoring matrix'!H5</f>
        <v>1942.5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903</v>
      </c>
      <c r="AB20">
        <f>L3*'scoring matrix'!M5</f>
        <v>412.5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3.0243311575324689</v>
      </c>
      <c r="C21" s="7">
        <f t="shared" si="3"/>
        <v>9.1682198615235251</v>
      </c>
      <c r="D21" s="7">
        <f t="shared" si="3"/>
        <v>90.501331628848405</v>
      </c>
      <c r="E21" s="7">
        <f t="shared" si="3"/>
        <v>9.3955732967916834</v>
      </c>
      <c r="F21" s="7">
        <f t="shared" si="3"/>
        <v>11.538461538461538</v>
      </c>
      <c r="G21" s="7">
        <f t="shared" si="3"/>
        <v>4.1086633328828217</v>
      </c>
      <c r="H21" s="7">
        <f t="shared" si="3"/>
        <v>0.9123629363020006</v>
      </c>
      <c r="I21" s="7">
        <f t="shared" si="3"/>
        <v>0.43972398863482609</v>
      </c>
      <c r="J21" s="7">
        <f t="shared" si="3"/>
        <v>1.0290556900726393</v>
      </c>
      <c r="K21" s="7">
        <f t="shared" si="3"/>
        <v>10.294034969359645</v>
      </c>
      <c r="L21" s="7">
        <f t="shared" si="3"/>
        <v>7.800143781452193</v>
      </c>
      <c r="M21" s="7">
        <f t="shared" si="3"/>
        <v>0</v>
      </c>
      <c r="R21">
        <f>B4*'scoring matrix'!C6</f>
        <v>22022</v>
      </c>
      <c r="S21">
        <f>C4*'scoring matrix'!D6</f>
        <v>30725.375</v>
      </c>
      <c r="T21">
        <f>D4*'scoring matrix'!E6</f>
        <v>0</v>
      </c>
      <c r="U21">
        <f>E4*'scoring matrix'!F6</f>
        <v>6308</v>
      </c>
      <c r="V21">
        <f>F4*'scoring matrix'!G6</f>
        <v>52.5</v>
      </c>
      <c r="W21">
        <f>G4*'scoring matrix'!H6</f>
        <v>8512</v>
      </c>
      <c r="X21">
        <f>H4*'scoring matrix'!I6</f>
        <v>408.75</v>
      </c>
      <c r="Y21">
        <f>I4*'scoring matrix'!J6</f>
        <v>260</v>
      </c>
      <c r="Z21">
        <f>J4*'scoring matrix'!K6</f>
        <v>68</v>
      </c>
      <c r="AA21">
        <f>K4*'scoring matrix'!L6</f>
        <v>5035.25</v>
      </c>
      <c r="AB21">
        <f>L4*'scoring matrix'!M6</f>
        <v>705.25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0.23744748757486325</v>
      </c>
      <c r="C22" s="7">
        <f t="shared" si="3"/>
        <v>0.80293677847307365</v>
      </c>
      <c r="D22" s="7">
        <f t="shared" si="3"/>
        <v>0.87258975178438269</v>
      </c>
      <c r="E22" s="7">
        <f t="shared" si="3"/>
        <v>79.344037653787723</v>
      </c>
      <c r="F22" s="7">
        <f t="shared" si="3"/>
        <v>0</v>
      </c>
      <c r="G22" s="7">
        <f t="shared" si="3"/>
        <v>7.1800243276118394</v>
      </c>
      <c r="H22" s="7">
        <f t="shared" si="3"/>
        <v>2.7203482045701848</v>
      </c>
      <c r="I22" s="7">
        <f t="shared" si="3"/>
        <v>0</v>
      </c>
      <c r="J22" s="7">
        <f t="shared" si="3"/>
        <v>0</v>
      </c>
      <c r="K22" s="7">
        <f t="shared" si="3"/>
        <v>5.6220835441614667E-3</v>
      </c>
      <c r="L22" s="7">
        <f t="shared" si="3"/>
        <v>7.1890726096333582E-2</v>
      </c>
      <c r="M22" s="7">
        <f t="shared" si="3"/>
        <v>0</v>
      </c>
      <c r="R22">
        <f>B5*'scoring matrix'!C7</f>
        <v>1482</v>
      </c>
      <c r="S22">
        <f>C5*'scoring matrix'!D7</f>
        <v>3115.75</v>
      </c>
      <c r="T22">
        <f>D5*'scoring matrix'!E7</f>
        <v>16382</v>
      </c>
      <c r="U22">
        <f>E5*'scoring matrix'!F7</f>
        <v>0</v>
      </c>
      <c r="V22">
        <f>F5*'scoring matrix'!G7</f>
        <v>0</v>
      </c>
      <c r="W22">
        <f>G5*'scoring matrix'!H7</f>
        <v>8500</v>
      </c>
      <c r="X22">
        <f>H5*'scoring matrix'!I7</f>
        <v>731.25</v>
      </c>
      <c r="Y22">
        <f>I5*'scoring matrix'!J7</f>
        <v>0</v>
      </c>
      <c r="Z22">
        <f>J5*'scoring matrix'!K7</f>
        <v>0</v>
      </c>
      <c r="AA22">
        <f>K5*'scoring matrix'!L7</f>
        <v>3.375</v>
      </c>
      <c r="AB22">
        <f>L5*'scoring matrix'!M7</f>
        <v>7.5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6.8734799034828833E-2</v>
      </c>
      <c r="C23" s="7">
        <f t="shared" si="3"/>
        <v>8.7167893867774099E-2</v>
      </c>
      <c r="D23" s="7">
        <f t="shared" si="3"/>
        <v>0.16373708320017044</v>
      </c>
      <c r="E23" s="7">
        <f t="shared" si="3"/>
        <v>5.0641961333373051E-2</v>
      </c>
      <c r="F23" s="7">
        <f t="shared" si="3"/>
        <v>76.923076923076934</v>
      </c>
      <c r="G23" s="7">
        <f t="shared" si="3"/>
        <v>0.49499932423300447</v>
      </c>
      <c r="H23" s="7">
        <f t="shared" si="3"/>
        <v>0</v>
      </c>
      <c r="I23" s="7">
        <f t="shared" si="3"/>
        <v>1.3529968881071573E-2</v>
      </c>
      <c r="J23" s="7">
        <f t="shared" si="3"/>
        <v>10.53268765133172</v>
      </c>
      <c r="K23" s="7">
        <f t="shared" si="3"/>
        <v>1.1244167088322933E-2</v>
      </c>
      <c r="L23" s="7">
        <f t="shared" si="3"/>
        <v>0</v>
      </c>
      <c r="M23" s="7">
        <f t="shared" si="3"/>
        <v>0</v>
      </c>
      <c r="R23">
        <f>B6*'scoring matrix'!C8</f>
        <v>536.25</v>
      </c>
      <c r="S23">
        <f>C6*'scoring matrix'!D8</f>
        <v>492</v>
      </c>
      <c r="T23">
        <f>D6*'scoring matrix'!E8</f>
        <v>5379.5</v>
      </c>
      <c r="U23">
        <f>E6*'scoring matrix'!F8</f>
        <v>42.5</v>
      </c>
      <c r="V23">
        <f>F6*'scoring matrix'!G8</f>
        <v>0</v>
      </c>
      <c r="W23">
        <f>G6*'scoring matrix'!H8</f>
        <v>769.125</v>
      </c>
      <c r="X23">
        <f>H6*'scoring matrix'!I8</f>
        <v>0</v>
      </c>
      <c r="Y23">
        <f>I6*'scoring matrix'!J8</f>
        <v>7.5</v>
      </c>
      <c r="Z23">
        <f>J6*'scoring matrix'!K8</f>
        <v>565.5</v>
      </c>
      <c r="AA23">
        <f>K6*'scoring matrix'!L8</f>
        <v>6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1.7832594714630416</v>
      </c>
      <c r="C24" s="7">
        <f t="shared" si="3"/>
        <v>1.6540639372958108</v>
      </c>
      <c r="D24" s="7">
        <f t="shared" si="3"/>
        <v>1.2579098753595399</v>
      </c>
      <c r="E24" s="7">
        <f t="shared" si="3"/>
        <v>8.8891536834579519</v>
      </c>
      <c r="F24" s="7">
        <f t="shared" si="3"/>
        <v>0.76923076923076927</v>
      </c>
      <c r="G24" s="7">
        <f t="shared" si="3"/>
        <v>79.723611298824167</v>
      </c>
      <c r="H24" s="7">
        <f t="shared" si="3"/>
        <v>7.1817192600652895</v>
      </c>
      <c r="I24" s="7">
        <f t="shared" si="3"/>
        <v>0</v>
      </c>
      <c r="J24" s="7">
        <f t="shared" si="3"/>
        <v>1.6343825665859564</v>
      </c>
      <c r="K24" s="7">
        <f t="shared" si="3"/>
        <v>3.2608084556136507</v>
      </c>
      <c r="L24" s="7">
        <f t="shared" si="3"/>
        <v>0</v>
      </c>
      <c r="M24" s="7">
        <f t="shared" si="3"/>
        <v>0</v>
      </c>
      <c r="P24" s="2"/>
      <c r="R24">
        <f>B7*'scoring matrix'!C9</f>
        <v>12985</v>
      </c>
      <c r="S24">
        <f>C7*'scoring matrix'!D9</f>
        <v>8752.5</v>
      </c>
      <c r="T24">
        <f>D7*'scoring matrix'!E9</f>
        <v>41328</v>
      </c>
      <c r="U24">
        <f>E7*'scoring matrix'!F9</f>
        <v>5968</v>
      </c>
      <c r="V24">
        <f>F7*'scoring matrix'!G9</f>
        <v>2.625</v>
      </c>
      <c r="W24">
        <f>G7*'scoring matrix'!H9</f>
        <v>0</v>
      </c>
      <c r="X24">
        <f>H7*'scoring matrix'!I9</f>
        <v>1179.75</v>
      </c>
      <c r="Y24">
        <f>I7*'scoring matrix'!J9</f>
        <v>0</v>
      </c>
      <c r="Z24">
        <f>J7*'scoring matrix'!K9</f>
        <v>101.25</v>
      </c>
      <c r="AA24">
        <f>K7*'scoring matrix'!L9</f>
        <v>2030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4.1817674937273487E-2</v>
      </c>
      <c r="C25" s="7">
        <f t="shared" si="3"/>
        <v>0</v>
      </c>
      <c r="D25" s="7">
        <f t="shared" si="3"/>
        <v>6.3918184723553851E-4</v>
      </c>
      <c r="E25" s="7">
        <f t="shared" si="3"/>
        <v>0.17873633411778722</v>
      </c>
      <c r="F25" s="7">
        <f t="shared" si="3"/>
        <v>0</v>
      </c>
      <c r="G25" s="7">
        <f t="shared" si="3"/>
        <v>5.4669549939180966</v>
      </c>
      <c r="H25" s="7">
        <f t="shared" si="3"/>
        <v>89.177199296894614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304.5</v>
      </c>
      <c r="S25">
        <f>C8*'scoring matrix'!D10</f>
        <v>0</v>
      </c>
      <c r="T25">
        <f>D8*'scoring matrix'!E10</f>
        <v>22.5</v>
      </c>
      <c r="U25">
        <f>E8*'scoring matrix'!F10</f>
        <v>135</v>
      </c>
      <c r="V25">
        <f>F8*'scoring matrix'!G10</f>
        <v>0</v>
      </c>
      <c r="W25">
        <f>G8*'scoring matrix'!H10</f>
        <v>4449.5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442690.625</v>
      </c>
    </row>
    <row r="26" spans="1:31" ht="23.25" customHeight="1" x14ac:dyDescent="0.25">
      <c r="A26" s="3" t="s">
        <v>7</v>
      </c>
      <c r="B26" s="7">
        <f t="shared" si="3"/>
        <v>4.8066293031348838E-4</v>
      </c>
      <c r="C26" s="7">
        <f t="shared" si="3"/>
        <v>0</v>
      </c>
      <c r="D26" s="7">
        <f t="shared" si="3"/>
        <v>6.3918184723553853E-3</v>
      </c>
      <c r="E26" s="7">
        <f t="shared" si="3"/>
        <v>0</v>
      </c>
      <c r="F26" s="7">
        <f t="shared" si="3"/>
        <v>2.3076923076923079</v>
      </c>
      <c r="G26" s="7">
        <f t="shared" si="3"/>
        <v>6.7576699553993785E-3</v>
      </c>
      <c r="H26" s="7">
        <f t="shared" si="3"/>
        <v>0</v>
      </c>
      <c r="I26" s="7">
        <f t="shared" si="3"/>
        <v>98.89730753619267</v>
      </c>
      <c r="J26" s="7">
        <f t="shared" si="3"/>
        <v>1.4527845036319613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4</v>
      </c>
      <c r="S26">
        <f>C9*'scoring matrix'!D11</f>
        <v>0</v>
      </c>
      <c r="T26">
        <f>D9*'scoring matrix'!E11</f>
        <v>240</v>
      </c>
      <c r="U26">
        <f>E9*'scoring matrix'!F11</f>
        <v>0</v>
      </c>
      <c r="V26">
        <f>F9*'scoring matrix'!G11</f>
        <v>11.25</v>
      </c>
      <c r="W26">
        <f>G9*'scoring matrix'!H11</f>
        <v>16</v>
      </c>
      <c r="X26">
        <f>H9*'scoring matrix'!I11</f>
        <v>0</v>
      </c>
      <c r="Y26">
        <f>I9*'scoring matrix'!J11</f>
        <v>0</v>
      </c>
      <c r="Z26">
        <f>J9*'scoring matrix'!K11</f>
        <v>66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1.6823202560972094E-2</v>
      </c>
      <c r="C27" s="7">
        <f t="shared" si="3"/>
        <v>4.2520923837938585E-3</v>
      </c>
      <c r="D27" s="7">
        <f t="shared" si="3"/>
        <v>9.0550761691701297E-3</v>
      </c>
      <c r="E27" s="7">
        <f t="shared" si="3"/>
        <v>0</v>
      </c>
      <c r="F27" s="7">
        <f t="shared" si="3"/>
        <v>8.4615384615384617</v>
      </c>
      <c r="G27" s="7">
        <f t="shared" si="3"/>
        <v>0.27706446817137448</v>
      </c>
      <c r="H27" s="7">
        <f t="shared" si="3"/>
        <v>0</v>
      </c>
      <c r="I27" s="7">
        <f t="shared" si="3"/>
        <v>0.64943850629143551</v>
      </c>
      <c r="J27" s="7">
        <f t="shared" si="3"/>
        <v>85.351089588377732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140</v>
      </c>
      <c r="S27">
        <f>C10*'scoring matrix'!D12</f>
        <v>24</v>
      </c>
      <c r="T27">
        <f>D10*'scoring matrix'!E12</f>
        <v>340</v>
      </c>
      <c r="U27">
        <f>E10*'scoring matrix'!F12</f>
        <v>0</v>
      </c>
      <c r="V27">
        <f>F10*'scoring matrix'!G12</f>
        <v>35.75</v>
      </c>
      <c r="W27">
        <f>G10*'scoring matrix'!H12</f>
        <v>615</v>
      </c>
      <c r="X27">
        <f>H10*'scoring matrix'!I12</f>
        <v>0</v>
      </c>
      <c r="Y27">
        <f>I10*'scoring matrix'!J12</f>
        <v>264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0.14804418253655444</v>
      </c>
      <c r="C28" s="7">
        <f t="shared" si="3"/>
        <v>0</v>
      </c>
      <c r="D28" s="7">
        <f t="shared" si="3"/>
        <v>0.24555235964631938</v>
      </c>
      <c r="E28" s="7">
        <f t="shared" si="3"/>
        <v>0</v>
      </c>
      <c r="F28" s="7">
        <f t="shared" si="3"/>
        <v>0</v>
      </c>
      <c r="G28" s="7">
        <f t="shared" si="3"/>
        <v>5.7440194620894711E-2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83.116883116883116</v>
      </c>
      <c r="L28" s="7">
        <f t="shared" si="3"/>
        <v>0</v>
      </c>
      <c r="M28" s="7">
        <f t="shared" si="3"/>
        <v>0</v>
      </c>
      <c r="R28">
        <f>B11*'scoring matrix'!C13</f>
        <v>770</v>
      </c>
      <c r="S28">
        <f>C11*'scoring matrix'!D13</f>
        <v>0</v>
      </c>
      <c r="T28">
        <f>D11*'scoring matrix'!E13</f>
        <v>6338.75</v>
      </c>
      <c r="U28">
        <f>E11*'scoring matrix'!F13</f>
        <v>0</v>
      </c>
      <c r="V28">
        <f>F11*'scoring matrix'!G13</f>
        <v>0</v>
      </c>
      <c r="W28">
        <f>G11*'scoring matrix'!H13</f>
        <v>119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0.39029829941455257</v>
      </c>
      <c r="C29" s="7">
        <f t="shared" si="3"/>
        <v>0.12189331500209061</v>
      </c>
      <c r="D29" s="7">
        <f t="shared" si="3"/>
        <v>0.1498881431767338</v>
      </c>
      <c r="E29" s="7">
        <f t="shared" si="3"/>
        <v>0</v>
      </c>
      <c r="F29" s="7">
        <f t="shared" si="3"/>
        <v>0</v>
      </c>
      <c r="G29" s="7">
        <f t="shared" si="3"/>
        <v>3.3788349776996893E-3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84.867002156721782</v>
      </c>
      <c r="M29" s="7">
        <f t="shared" si="3"/>
        <v>0</v>
      </c>
      <c r="R29">
        <f>B12*'scoring matrix'!C14</f>
        <v>3146.5</v>
      </c>
      <c r="S29">
        <f>C12*'scoring matrix'!D14</f>
        <v>645</v>
      </c>
      <c r="T29">
        <f>D12*'scoring matrix'!E14</f>
        <v>4572.75</v>
      </c>
      <c r="U29">
        <f>E12*'scoring matrix'!F14</f>
        <v>0</v>
      </c>
      <c r="V29">
        <f>F12*'scoring matrix'!G14</f>
        <v>0</v>
      </c>
      <c r="W29">
        <f>G12*'scoring matrix'!H14</f>
        <v>8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2.4033146515674418E-2</v>
      </c>
      <c r="C30" s="7">
        <f t="shared" si="3"/>
        <v>1.5591005407244148E-2</v>
      </c>
      <c r="D30" s="7">
        <f t="shared" si="3"/>
        <v>1.7044849259614358E-3</v>
      </c>
      <c r="E30" s="7">
        <f t="shared" si="3"/>
        <v>0</v>
      </c>
      <c r="F30" s="7">
        <f t="shared" si="3"/>
        <v>0</v>
      </c>
      <c r="G30" s="7">
        <f t="shared" si="3"/>
        <v>2.5341262332747666E-2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162.5</v>
      </c>
      <c r="S30">
        <f>C13*'scoring matrix'!D15</f>
        <v>66</v>
      </c>
      <c r="T30">
        <f>D13*'scoring matrix'!E15</f>
        <v>48</v>
      </c>
      <c r="U30">
        <f>E13*'scoring matrix'!F15</f>
        <v>0</v>
      </c>
      <c r="V30">
        <f>F13*'scoring matrix'!G15</f>
        <v>0</v>
      </c>
      <c r="W30">
        <f>G13*'scoring matrix'!H15</f>
        <v>54.375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34FC-1154-4AC4-A54C-8A7296DD2798}">
  <dimension ref="B6:AR61"/>
  <sheetViews>
    <sheetView topLeftCell="J8" zoomScale="115" zoomScaleNormal="115" workbookViewId="0">
      <selection activeCell="AA4" sqref="AA4"/>
    </sheetView>
  </sheetViews>
  <sheetFormatPr defaultRowHeight="15" x14ac:dyDescent="0.25"/>
  <cols>
    <col min="2" max="2" width="26.42578125" customWidth="1"/>
    <col min="3" max="15" width="6.5703125" style="31" customWidth="1"/>
    <col min="16" max="16" width="21.5703125" style="31" customWidth="1"/>
    <col min="17" max="28" width="6.85546875" style="31" customWidth="1"/>
    <col min="29" max="29" width="9.140625" style="31"/>
    <col min="30" max="30" width="23.5703125" style="31" customWidth="1"/>
    <col min="31" max="43" width="9.140625" style="31"/>
  </cols>
  <sheetData>
    <row r="6" spans="2:44" x14ac:dyDescent="0.25">
      <c r="AE6" s="44" t="s">
        <v>36</v>
      </c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</row>
    <row r="7" spans="2:44" ht="127.5" x14ac:dyDescent="0.45">
      <c r="B7" s="36" t="s">
        <v>27</v>
      </c>
      <c r="C7" s="32" t="s">
        <v>13</v>
      </c>
      <c r="D7" s="32" t="s">
        <v>14</v>
      </c>
      <c r="E7" s="32" t="s">
        <v>15</v>
      </c>
      <c r="F7" s="32" t="s">
        <v>16</v>
      </c>
      <c r="G7" s="32" t="s">
        <v>17</v>
      </c>
      <c r="H7" s="32" t="s">
        <v>18</v>
      </c>
      <c r="I7" s="32" t="s">
        <v>19</v>
      </c>
      <c r="J7" s="32" t="s">
        <v>20</v>
      </c>
      <c r="K7" s="32" t="s">
        <v>21</v>
      </c>
      <c r="L7" s="32" t="s">
        <v>22</v>
      </c>
      <c r="M7" s="32" t="s">
        <v>23</v>
      </c>
      <c r="N7" s="32" t="s">
        <v>24</v>
      </c>
      <c r="P7" s="37" t="s">
        <v>28</v>
      </c>
      <c r="Q7" s="32" t="s">
        <v>13</v>
      </c>
      <c r="R7" s="32" t="s">
        <v>14</v>
      </c>
      <c r="S7" s="32" t="s">
        <v>15</v>
      </c>
      <c r="T7" s="32" t="s">
        <v>16</v>
      </c>
      <c r="U7" s="32" t="s">
        <v>17</v>
      </c>
      <c r="V7" s="32" t="s">
        <v>18</v>
      </c>
      <c r="W7" s="32" t="s">
        <v>19</v>
      </c>
      <c r="X7" s="32" t="s">
        <v>20</v>
      </c>
      <c r="Y7" s="32" t="s">
        <v>21</v>
      </c>
      <c r="Z7" s="32" t="s">
        <v>22</v>
      </c>
      <c r="AA7" s="32" t="s">
        <v>23</v>
      </c>
      <c r="AB7" s="32" t="s">
        <v>24</v>
      </c>
      <c r="AD7" s="43" t="s">
        <v>40</v>
      </c>
      <c r="AE7" s="39" t="s">
        <v>13</v>
      </c>
      <c r="AF7" s="39" t="s">
        <v>14</v>
      </c>
      <c r="AG7" s="39" t="s">
        <v>15</v>
      </c>
      <c r="AH7" s="39" t="s">
        <v>16</v>
      </c>
      <c r="AI7" s="39" t="s">
        <v>17</v>
      </c>
      <c r="AJ7" s="39" t="s">
        <v>18</v>
      </c>
      <c r="AK7" s="39" t="s">
        <v>19</v>
      </c>
      <c r="AL7" s="39" t="s">
        <v>20</v>
      </c>
      <c r="AM7" s="39" t="s">
        <v>21</v>
      </c>
      <c r="AN7" s="39" t="s">
        <v>22</v>
      </c>
      <c r="AO7" s="39" t="s">
        <v>23</v>
      </c>
      <c r="AP7" s="39" t="s">
        <v>24</v>
      </c>
    </row>
    <row r="8" spans="2:44" x14ac:dyDescent="0.25">
      <c r="B8" s="3" t="s">
        <v>1</v>
      </c>
      <c r="C8" s="34">
        <f>Olawale_conf!B19</f>
        <v>78.512744891510437</v>
      </c>
      <c r="D8" s="34">
        <f>Olawale_conf!C19</f>
        <v>20.493090452261306</v>
      </c>
      <c r="E8" s="34">
        <f>Olawale_conf!D19</f>
        <v>1.4039855072463767</v>
      </c>
      <c r="F8" s="34">
        <f>Olawale_conf!E19</f>
        <v>5.5120167189132712</v>
      </c>
      <c r="G8" s="34">
        <f>Olawale_conf!F19</f>
        <v>0</v>
      </c>
      <c r="H8" s="34">
        <f>Olawale_conf!G19</f>
        <v>2.656589946181152</v>
      </c>
      <c r="I8" s="34">
        <f>Olawale_conf!H19</f>
        <v>0</v>
      </c>
      <c r="J8" s="34">
        <f>Olawale_conf!I19</f>
        <v>0</v>
      </c>
      <c r="K8" s="34">
        <f>Olawale_conf!J19</f>
        <v>0</v>
      </c>
      <c r="L8" s="34">
        <f>Olawale_conf!K19</f>
        <v>0</v>
      </c>
      <c r="M8" s="34">
        <f>Olawale_conf!L19</f>
        <v>0</v>
      </c>
      <c r="N8" s="34">
        <f>Olawale_conf!M19</f>
        <v>0</v>
      </c>
      <c r="P8" s="35" t="s">
        <v>1</v>
      </c>
      <c r="Q8" s="34">
        <f>'GIR_conf '!B19</f>
        <v>74.981614943374026</v>
      </c>
      <c r="R8" s="34">
        <f>'GIR_conf '!C19</f>
        <v>24.483956672797873</v>
      </c>
      <c r="S8" s="34">
        <f>'GIR_conf '!D19</f>
        <v>1.5352739814171366</v>
      </c>
      <c r="T8" s="34">
        <f>'GIR_conf '!E19</f>
        <v>0.60750132065504492</v>
      </c>
      <c r="U8" s="34">
        <f>'GIR_conf '!F19</f>
        <v>0</v>
      </c>
      <c r="V8" s="34">
        <f>'GIR_conf '!G19</f>
        <v>2.805635148042025</v>
      </c>
      <c r="W8" s="34">
        <f>'GIR_conf '!H19</f>
        <v>0</v>
      </c>
      <c r="X8" s="34">
        <f>'GIR_conf '!I19</f>
        <v>0</v>
      </c>
      <c r="Y8" s="34">
        <f>'GIR_conf '!J19</f>
        <v>0</v>
      </c>
      <c r="Z8" s="34">
        <f>'GIR_conf '!K19</f>
        <v>0</v>
      </c>
      <c r="AA8" s="34">
        <f>'GIR_conf '!L19</f>
        <v>0.83682008368200833</v>
      </c>
      <c r="AB8" s="34">
        <f>'GIR_conf '!M19</f>
        <v>0</v>
      </c>
      <c r="AD8" s="40" t="s">
        <v>1</v>
      </c>
      <c r="AE8" s="41">
        <f>Olawale_conf!B2*'scoring matrix'!C4-'GIR_conf '!B2*'scoring matrix'!C4</f>
        <v>0</v>
      </c>
      <c r="AF8" s="41">
        <f>Olawale_conf!C2*'scoring matrix'!D4-'GIR_conf '!C2*'scoring matrix'!D4</f>
        <v>-2182</v>
      </c>
      <c r="AG8" s="41">
        <f>Olawale_conf!D2*'scoring matrix'!E4-'GIR_conf '!D2*'scoring matrix'!E4</f>
        <v>-269.5</v>
      </c>
      <c r="AH8" s="41">
        <f>Olawale_conf!E2*'scoring matrix'!F4-'GIR_conf '!E2*'scoring matrix'!F4</f>
        <v>564</v>
      </c>
      <c r="AI8" s="41">
        <f>Olawale_conf!F2*'scoring matrix'!G4-'GIR_conf '!F2*'scoring matrix'!G4</f>
        <v>0</v>
      </c>
      <c r="AJ8" s="41">
        <f>Olawale_conf!G2*'scoring matrix'!H4-'GIR_conf '!G2*'scoring matrix'!H4</f>
        <v>-10.5</v>
      </c>
      <c r="AK8" s="41">
        <f>Olawale_conf!H2*'scoring matrix'!I4-'GIR_conf '!H2*'scoring matrix'!I4</f>
        <v>0</v>
      </c>
      <c r="AL8" s="41">
        <f>Olawale_conf!I2*'scoring matrix'!J4-'GIR_conf '!I2*'scoring matrix'!J4</f>
        <v>0</v>
      </c>
      <c r="AM8" s="41">
        <f>Olawale_conf!J2*'scoring matrix'!K4-'GIR_conf '!J2*'scoring matrix'!K4</f>
        <v>0</v>
      </c>
      <c r="AN8" s="41">
        <f>Olawale_conf!K2*'scoring matrix'!L4-'GIR_conf '!K2*'scoring matrix'!L4</f>
        <v>0</v>
      </c>
      <c r="AO8" s="41">
        <f>Olawale_conf!L2*'scoring matrix'!M4-'GIR_conf '!L2*'scoring matrix'!M4</f>
        <v>-7.75</v>
      </c>
      <c r="AP8" s="41">
        <f>Olawale_conf!M2*'scoring matrix'!N4-'GIR_conf '!M2*'scoring matrix'!N4</f>
        <v>0</v>
      </c>
    </row>
    <row r="9" spans="2:44" x14ac:dyDescent="0.25">
      <c r="B9" s="4" t="s">
        <v>2</v>
      </c>
      <c r="C9" s="34">
        <f>Olawale_conf!B20</f>
        <v>12.737869531634013</v>
      </c>
      <c r="D9" s="34">
        <f>Olawale_conf!C20</f>
        <v>55.464824120603019</v>
      </c>
      <c r="E9" s="34">
        <f>Olawale_conf!D20</f>
        <v>8.3018820450885666</v>
      </c>
      <c r="F9" s="34">
        <f>Olawale_conf!E20</f>
        <v>4.4409613375130617</v>
      </c>
      <c r="G9" s="34">
        <f>Olawale_conf!F20</f>
        <v>0</v>
      </c>
      <c r="H9" s="34">
        <f>Olawale_conf!G20</f>
        <v>0.28627046833848618</v>
      </c>
      <c r="I9" s="34">
        <f>Olawale_conf!H20</f>
        <v>0</v>
      </c>
      <c r="J9" s="34">
        <f>Olawale_conf!I20</f>
        <v>0</v>
      </c>
      <c r="K9" s="34">
        <f>Olawale_conf!J20</f>
        <v>0</v>
      </c>
      <c r="L9" s="34">
        <f>Olawale_conf!K20</f>
        <v>11.928251121076233</v>
      </c>
      <c r="M9" s="34">
        <f>Olawale_conf!L20</f>
        <v>5.7471264367816088</v>
      </c>
      <c r="N9" s="34">
        <f>Olawale_conf!M20</f>
        <v>0</v>
      </c>
      <c r="P9" s="35" t="s">
        <v>2</v>
      </c>
      <c r="Q9" s="34">
        <f>'GIR_conf '!B20</f>
        <v>12.840123547580525</v>
      </c>
      <c r="R9" s="34">
        <f>'GIR_conf '!C20</f>
        <v>51.788268955650928</v>
      </c>
      <c r="S9" s="34">
        <f>'GIR_conf '!D20</f>
        <v>6.6185365351452923</v>
      </c>
      <c r="T9" s="34">
        <f>'GIR_conf '!E20</f>
        <v>6.603275224511358</v>
      </c>
      <c r="U9" s="34">
        <f>'GIR_conf '!F20</f>
        <v>0</v>
      </c>
      <c r="V9" s="34">
        <f>'GIR_conf '!G20</f>
        <v>0.26265520534861508</v>
      </c>
      <c r="W9" s="34">
        <f>'GIR_conf '!H20</f>
        <v>0</v>
      </c>
      <c r="X9" s="34">
        <f>'GIR_conf '!I20</f>
        <v>0</v>
      </c>
      <c r="Y9" s="34">
        <f>'GIR_conf '!J20</f>
        <v>0</v>
      </c>
      <c r="Z9" s="34">
        <f>'GIR_conf '!K20</f>
        <v>5.2117263843648214</v>
      </c>
      <c r="AA9" s="34">
        <f>'GIR_conf '!L20</f>
        <v>9.2050209205020916</v>
      </c>
      <c r="AB9" s="34">
        <f>'GIR_conf '!M20</f>
        <v>0</v>
      </c>
      <c r="AD9" s="42" t="s">
        <v>2</v>
      </c>
      <c r="AE9" s="41">
        <f>Olawale_conf!B3*'scoring matrix'!C5-'GIR_conf '!B3*'scoring matrix'!C5</f>
        <v>136</v>
      </c>
      <c r="AF9" s="41">
        <f>Olawale_conf!C3*'scoring matrix'!D5-'GIR_conf '!C3*'scoring matrix'!D5</f>
        <v>0</v>
      </c>
      <c r="AG9" s="41">
        <f>Olawale_conf!D3*'scoring matrix'!E5-'GIR_conf '!D3*'scoring matrix'!E5</f>
        <v>3458</v>
      </c>
      <c r="AH9" s="41">
        <f>Olawale_conf!E3*'scoring matrix'!F5-'GIR_conf '!E3*'scoring matrix'!F5</f>
        <v>-220</v>
      </c>
      <c r="AI9" s="41">
        <f>Olawale_conf!F3*'scoring matrix'!G5-'GIR_conf '!F3*'scoring matrix'!G5</f>
        <v>0</v>
      </c>
      <c r="AJ9" s="41">
        <f>Olawale_conf!G3*'scoring matrix'!H5-'GIR_conf '!G3*'scoring matrix'!H5</f>
        <v>11.25</v>
      </c>
      <c r="AK9" s="41">
        <f>Olawale_conf!H3*'scoring matrix'!I5-'GIR_conf '!H3*'scoring matrix'!I5</f>
        <v>0</v>
      </c>
      <c r="AL9" s="41">
        <f>Olawale_conf!I3*'scoring matrix'!J5-'GIR_conf '!I3*'scoring matrix'!J5</f>
        <v>0</v>
      </c>
      <c r="AM9" s="41">
        <f>Olawale_conf!J3*'scoring matrix'!K5-'GIR_conf '!J3*'scoring matrix'!K5</f>
        <v>0</v>
      </c>
      <c r="AN9" s="41">
        <f>Olawale_conf!K3*'scoring matrix'!L5-'GIR_conf '!K3*'scoring matrix'!L5</f>
        <v>303</v>
      </c>
      <c r="AO9" s="41">
        <f>Olawale_conf!L3*'scoring matrix'!M5-'GIR_conf '!L3*'scoring matrix'!M5</f>
        <v>-45</v>
      </c>
      <c r="AP9" s="41">
        <f>Olawale_conf!M3*'scoring matrix'!N5-'GIR_conf '!M3*'scoring matrix'!N5</f>
        <v>0</v>
      </c>
    </row>
    <row r="10" spans="2:44" x14ac:dyDescent="0.25">
      <c r="B10" s="3" t="s">
        <v>3</v>
      </c>
      <c r="C10" s="34">
        <f>Olawale_conf!B21</f>
        <v>3.6233410575100065</v>
      </c>
      <c r="D10" s="34">
        <f>Olawale_conf!C21</f>
        <v>14.133165829145728</v>
      </c>
      <c r="E10" s="34">
        <f>Olawale_conf!D21</f>
        <v>86.307367149758448</v>
      </c>
      <c r="F10" s="34">
        <f>Olawale_conf!E21</f>
        <v>32.941483803552771</v>
      </c>
      <c r="G10" s="34">
        <f>Olawale_conf!F21</f>
        <v>0</v>
      </c>
      <c r="H10" s="34">
        <f>Olawale_conf!G21</f>
        <v>2.6909424023817703</v>
      </c>
      <c r="I10" s="34">
        <f>Olawale_conf!H21</f>
        <v>2.358490566037736</v>
      </c>
      <c r="J10" s="34">
        <f>Olawale_conf!I21</f>
        <v>0.21426385062748698</v>
      </c>
      <c r="K10" s="34">
        <f>Olawale_conf!J21</f>
        <v>1.4376996805111821</v>
      </c>
      <c r="L10" s="34">
        <f>Olawale_conf!K21</f>
        <v>20.986547085201792</v>
      </c>
      <c r="M10" s="34">
        <f>Olawale_conf!L21</f>
        <v>13.793103448275861</v>
      </c>
      <c r="N10" s="34">
        <f>Olawale_conf!M21</f>
        <v>0</v>
      </c>
      <c r="P10" s="35" t="s">
        <v>3</v>
      </c>
      <c r="Q10" s="34">
        <f>'GIR_conf '!B21</f>
        <v>4.9566112663627004</v>
      </c>
      <c r="R10" s="34">
        <f>'GIR_conf '!C21</f>
        <v>21.438790108318006</v>
      </c>
      <c r="S10" s="34">
        <f>'GIR_conf '!D21</f>
        <v>87.109103544127862</v>
      </c>
      <c r="T10" s="34">
        <f>'GIR_conf '!E21</f>
        <v>21.658742736397251</v>
      </c>
      <c r="U10" s="34">
        <f>'GIR_conf '!F21</f>
        <v>8.4158415841584162</v>
      </c>
      <c r="V10" s="34">
        <f>'GIR_conf '!G21</f>
        <v>2.7698185291308501</v>
      </c>
      <c r="W10" s="34">
        <f>'GIR_conf '!H21</f>
        <v>2.570093457943925</v>
      </c>
      <c r="X10" s="34">
        <f>'GIR_conf '!I21</f>
        <v>3.1560675398453523E-2</v>
      </c>
      <c r="Y10" s="34">
        <f>'GIR_conf '!J21</f>
        <v>1.279317697228145</v>
      </c>
      <c r="Z10" s="34">
        <f>'GIR_conf '!K21</f>
        <v>36.156351791530945</v>
      </c>
      <c r="AA10" s="34">
        <f>'GIR_conf '!L21</f>
        <v>14.225941422594143</v>
      </c>
      <c r="AB10" s="34">
        <f>'GIR_conf '!M21</f>
        <v>0</v>
      </c>
      <c r="AD10" s="40" t="s">
        <v>3</v>
      </c>
      <c r="AE10" s="41">
        <f>Olawale_conf!B4*'scoring matrix'!C6-'GIR_conf '!B4*'scoring matrix'!C6</f>
        <v>-553</v>
      </c>
      <c r="AF10" s="41">
        <f>Olawale_conf!C4*'scoring matrix'!D6-'GIR_conf '!C4*'scoring matrix'!D6</f>
        <v>-2845.25</v>
      </c>
      <c r="AG10" s="41">
        <f>Olawale_conf!D4*'scoring matrix'!E6-'GIR_conf '!D4*'scoring matrix'!E6</f>
        <v>0</v>
      </c>
      <c r="AH10" s="41">
        <f>Olawale_conf!E4*'scoring matrix'!F6-'GIR_conf '!E4*'scoring matrix'!F6</f>
        <v>882</v>
      </c>
      <c r="AI10" s="41">
        <f>Olawale_conf!F4*'scoring matrix'!G6-'GIR_conf '!F4*'scoring matrix'!G6</f>
        <v>-59.5</v>
      </c>
      <c r="AJ10" s="41">
        <f>Olawale_conf!G4*'scoring matrix'!H6-'GIR_conf '!G4*'scoring matrix'!H6</f>
        <v>10.5</v>
      </c>
      <c r="AK10" s="41">
        <f>Olawale_conf!H4*'scoring matrix'!I6-'GIR_conf '!H4*'scoring matrix'!I6</f>
        <v>-11.25</v>
      </c>
      <c r="AL10" s="41">
        <f>Olawale_conf!I4*'scoring matrix'!J6-'GIR_conf '!I4*'scoring matrix'!J6</f>
        <v>48</v>
      </c>
      <c r="AM10" s="41">
        <f>Olawale_conf!J4*'scoring matrix'!K6-'GIR_conf '!J4*'scoring matrix'!K6</f>
        <v>12</v>
      </c>
      <c r="AN10" s="41">
        <f>Olawale_conf!K4*'scoring matrix'!L6-'GIR_conf '!K4*'scoring matrix'!L6</f>
        <v>33</v>
      </c>
      <c r="AO10" s="41">
        <f>Olawale_conf!L4*'scoring matrix'!M6-'GIR_conf '!L4*'scoring matrix'!M6</f>
        <v>-32.5</v>
      </c>
      <c r="AP10" s="41">
        <f>Olawale_conf!M4*'scoring matrix'!N6-'GIR_conf '!M4*'scoring matrix'!N6</f>
        <v>0</v>
      </c>
      <c r="AR10" s="8">
        <f>SUM(AE8:AP19)</f>
        <v>-1158.5</v>
      </c>
    </row>
    <row r="11" spans="2:44" x14ac:dyDescent="0.25">
      <c r="B11" s="3" t="s">
        <v>11</v>
      </c>
      <c r="C11" s="34">
        <f>Olawale_conf!B22</f>
        <v>0.11937363949160874</v>
      </c>
      <c r="D11" s="34">
        <f>Olawale_conf!C22</f>
        <v>7.6947236180904515</v>
      </c>
      <c r="E11" s="34">
        <f>Olawale_conf!D22</f>
        <v>2.0493659420289854</v>
      </c>
      <c r="F11" s="34">
        <f>Olawale_conf!E22</f>
        <v>30.694879832810866</v>
      </c>
      <c r="G11" s="34">
        <f>Olawale_conf!F22</f>
        <v>0</v>
      </c>
      <c r="H11" s="34">
        <f>Olawale_conf!G22</f>
        <v>11.679835108210238</v>
      </c>
      <c r="I11" s="34">
        <f>Olawale_conf!H22</f>
        <v>5.1100628930817615</v>
      </c>
      <c r="J11" s="34">
        <f>Olawale_conf!I22</f>
        <v>0</v>
      </c>
      <c r="K11" s="34">
        <f>Olawale_conf!J22</f>
        <v>0</v>
      </c>
      <c r="L11" s="34">
        <f>Olawale_conf!K22</f>
        <v>0</v>
      </c>
      <c r="M11" s="34">
        <f>Olawale_conf!L22</f>
        <v>0</v>
      </c>
      <c r="N11" s="34">
        <f>Olawale_conf!M22</f>
        <v>0</v>
      </c>
      <c r="P11" s="35" t="s">
        <v>11</v>
      </c>
      <c r="Q11" s="34">
        <f>'GIR_conf '!B22</f>
        <v>0.13237240770701575</v>
      </c>
      <c r="R11" s="34">
        <f>'GIR_conf '!C22</f>
        <v>1.5532393214796647</v>
      </c>
      <c r="S11" s="34">
        <f>'GIR_conf '!D22</f>
        <v>2.231487915991043</v>
      </c>
      <c r="T11" s="34">
        <f>'GIR_conf '!E22</f>
        <v>42.419440042260966</v>
      </c>
      <c r="U11" s="34">
        <f>'GIR_conf '!F22</f>
        <v>0.99009900990099009</v>
      </c>
      <c r="V11" s="34">
        <f>'GIR_conf '!G22</f>
        <v>9.5152817574021018</v>
      </c>
      <c r="W11" s="34">
        <f>'GIR_conf '!H22</f>
        <v>6.3862928348909653</v>
      </c>
      <c r="X11" s="34">
        <f>'GIR_conf '!I22</f>
        <v>0</v>
      </c>
      <c r="Y11" s="34">
        <f>'GIR_conf '!J22</f>
        <v>0</v>
      </c>
      <c r="Z11" s="34">
        <f>'GIR_conf '!K22</f>
        <v>0.81433224755700329</v>
      </c>
      <c r="AA11" s="34">
        <f>'GIR_conf '!L22</f>
        <v>0</v>
      </c>
      <c r="AB11" s="34">
        <f>'GIR_conf '!M22</f>
        <v>0</v>
      </c>
      <c r="AD11" s="40" t="s">
        <v>11</v>
      </c>
      <c r="AE11" s="41">
        <f>Olawale_conf!B5*'scoring matrix'!C7-'GIR_conf '!B5*'scoring matrix'!C7</f>
        <v>-3</v>
      </c>
      <c r="AF11" s="41">
        <f>Olawale_conf!C5*'scoring matrix'!D7-'GIR_conf '!C5*'scoring matrix'!D7</f>
        <v>929.5</v>
      </c>
      <c r="AG11" s="41">
        <f>Olawale_conf!D5*'scoring matrix'!E7-'GIR_conf '!D5*'scoring matrix'!E7</f>
        <v>-210</v>
      </c>
      <c r="AH11" s="41">
        <f>Olawale_conf!E5*'scoring matrix'!F7-'GIR_conf '!E5*'scoring matrix'!F7</f>
        <v>0</v>
      </c>
      <c r="AI11" s="41">
        <f>Olawale_conf!F5*'scoring matrix'!G7-'GIR_conf '!F5*'scoring matrix'!G7</f>
        <v>-5</v>
      </c>
      <c r="AJ11" s="41">
        <f>Olawale_conf!G5*'scoring matrix'!H7-'GIR_conf '!G5*'scoring matrix'!H7</f>
        <v>446</v>
      </c>
      <c r="AK11" s="41">
        <f>Olawale_conf!H5*'scoring matrix'!I7-'GIR_conf '!H5*'scoring matrix'!I7</f>
        <v>-38.25</v>
      </c>
      <c r="AL11" s="41">
        <f>Olawale_conf!I5*'scoring matrix'!J7-'GIR_conf '!I5*'scoring matrix'!J7</f>
        <v>0</v>
      </c>
      <c r="AM11" s="41">
        <f>Olawale_conf!J5*'scoring matrix'!K7-'GIR_conf '!J5*'scoring matrix'!K7</f>
        <v>0</v>
      </c>
      <c r="AN11" s="41">
        <f>Olawale_conf!K5*'scoring matrix'!L7-'GIR_conf '!K5*'scoring matrix'!L7</f>
        <v>-16.875</v>
      </c>
      <c r="AO11" s="41">
        <f>Olawale_conf!L5*'scoring matrix'!M7-'GIR_conf '!L5*'scoring matrix'!M7</f>
        <v>0</v>
      </c>
      <c r="AP11" s="41">
        <f>Olawale_conf!M5*'scoring matrix'!N7-'GIR_conf '!M5*'scoring matrix'!N7</f>
        <v>0</v>
      </c>
    </row>
    <row r="12" spans="2:44" x14ac:dyDescent="0.25">
      <c r="B12" s="3" t="s">
        <v>4</v>
      </c>
      <c r="C12" s="34">
        <f>Olawale_conf!B23</f>
        <v>3.5109893968120212E-2</v>
      </c>
      <c r="D12" s="34">
        <f>Olawale_conf!C23</f>
        <v>0</v>
      </c>
      <c r="E12" s="34">
        <f>Olawale_conf!D23</f>
        <v>0.19248188405797104</v>
      </c>
      <c r="F12" s="34">
        <f>Olawale_conf!E23</f>
        <v>2.6123301985370953E-2</v>
      </c>
      <c r="G12" s="34">
        <f>Olawale_conf!F23</f>
        <v>5.5555555555555554</v>
      </c>
      <c r="H12" s="34">
        <f>Olawale_conf!G23</f>
        <v>0.10305736860185502</v>
      </c>
      <c r="I12" s="34">
        <f>Olawale_conf!H23</f>
        <v>0</v>
      </c>
      <c r="J12" s="34">
        <f>Olawale_conf!I23</f>
        <v>3.0609121518212427E-2</v>
      </c>
      <c r="K12" s="34">
        <f>Olawale_conf!J23</f>
        <v>18.530351437699679</v>
      </c>
      <c r="L12" s="34">
        <f>Olawale_conf!K23</f>
        <v>0</v>
      </c>
      <c r="M12" s="34">
        <f>Olawale_conf!L23</f>
        <v>0</v>
      </c>
      <c r="N12" s="34">
        <f>Olawale_conf!M23</f>
        <v>0</v>
      </c>
      <c r="P12" s="35" t="s">
        <v>4</v>
      </c>
      <c r="Q12" s="34">
        <f>'GIR_conf '!B23</f>
        <v>2.9416090601559051E-2</v>
      </c>
      <c r="R12" s="34">
        <f>'GIR_conf '!C23</f>
        <v>0</v>
      </c>
      <c r="S12" s="34">
        <f>'GIR_conf '!D23</f>
        <v>0.20204360023678997</v>
      </c>
      <c r="T12" s="34">
        <f>'GIR_conf '!E23</f>
        <v>0.10565240359218173</v>
      </c>
      <c r="U12" s="34">
        <f>'GIR_conf '!F23</f>
        <v>40.594059405940598</v>
      </c>
      <c r="V12" s="34">
        <f>'GIR_conf '!G23</f>
        <v>0.14326647564469913</v>
      </c>
      <c r="W12" s="34">
        <f>'GIR_conf '!H23</f>
        <v>0</v>
      </c>
      <c r="X12" s="34">
        <f>'GIR_conf '!I23</f>
        <v>0</v>
      </c>
      <c r="Y12" s="34">
        <f>'GIR_conf '!J23</f>
        <v>5.9701492537313428</v>
      </c>
      <c r="Z12" s="34">
        <f>'GIR_conf '!K23</f>
        <v>0</v>
      </c>
      <c r="AA12" s="34">
        <f>'GIR_conf '!L23</f>
        <v>0</v>
      </c>
      <c r="AB12" s="34">
        <f>'GIR_conf '!M23</f>
        <v>0</v>
      </c>
      <c r="AD12" s="40" t="s">
        <v>4</v>
      </c>
      <c r="AE12" s="41">
        <f>Olawale_conf!B6*'scoring matrix'!C8-'GIR_conf '!B6*'scoring matrix'!C8</f>
        <v>3.75</v>
      </c>
      <c r="AF12" s="41">
        <f>Olawale_conf!C6*'scoring matrix'!D8-'GIR_conf '!C6*'scoring matrix'!D8</f>
        <v>0</v>
      </c>
      <c r="AG12" s="41">
        <f>Olawale_conf!D6*'scoring matrix'!E8-'GIR_conf '!D6*'scoring matrix'!E8</f>
        <v>-14</v>
      </c>
      <c r="AH12" s="41">
        <f>Olawale_conf!E6*'scoring matrix'!F8-'GIR_conf '!E6*'scoring matrix'!F8</f>
        <v>-7.5</v>
      </c>
      <c r="AI12" s="41">
        <f>Olawale_conf!F6*'scoring matrix'!G8-'GIR_conf '!F6*'scoring matrix'!G8</f>
        <v>0</v>
      </c>
      <c r="AJ12" s="41">
        <f>Olawale_conf!G6*'scoring matrix'!H8-'GIR_conf '!G6*'scoring matrix'!H8</f>
        <v>-7.875</v>
      </c>
      <c r="AK12" s="41">
        <f>Olawale_conf!H6*'scoring matrix'!I8-'GIR_conf '!H6*'scoring matrix'!I8</f>
        <v>0</v>
      </c>
      <c r="AL12" s="41">
        <f>Olawale_conf!I6*'scoring matrix'!J8-'GIR_conf '!I6*'scoring matrix'!J8</f>
        <v>7.5</v>
      </c>
      <c r="AM12" s="41">
        <f>Olawale_conf!J6*'scoring matrix'!K8-'GIR_conf '!J6*'scoring matrix'!K8</f>
        <v>286</v>
      </c>
      <c r="AN12" s="41">
        <f>Olawale_conf!K6*'scoring matrix'!L8-'GIR_conf '!K6*'scoring matrix'!L8</f>
        <v>0</v>
      </c>
      <c r="AO12" s="41">
        <f>Olawale_conf!L6*'scoring matrix'!M8-'GIR_conf '!L6*'scoring matrix'!M8</f>
        <v>0</v>
      </c>
      <c r="AP12" s="41">
        <f>Olawale_conf!M6*'scoring matrix'!N8-'GIR_conf '!M6*'scoring matrix'!N8</f>
        <v>0</v>
      </c>
    </row>
    <row r="13" spans="2:44" x14ac:dyDescent="0.25">
      <c r="B13" s="3" t="s">
        <v>5</v>
      </c>
      <c r="C13" s="34">
        <f>Olawale_conf!B24</f>
        <v>4.0797696790955689</v>
      </c>
      <c r="D13" s="34">
        <f>Olawale_conf!C24</f>
        <v>1.9158291457286432</v>
      </c>
      <c r="E13" s="34">
        <f>Olawale_conf!D24</f>
        <v>1.3662439613526569</v>
      </c>
      <c r="F13" s="34">
        <f>Olawale_conf!E24</f>
        <v>26.227795193312435</v>
      </c>
      <c r="G13" s="34">
        <f>Olawale_conf!F24</f>
        <v>11.111111111111111</v>
      </c>
      <c r="H13" s="34">
        <f>Olawale_conf!G24</f>
        <v>60.861101568762166</v>
      </c>
      <c r="I13" s="34">
        <f>Olawale_conf!H24</f>
        <v>15.644654088050313</v>
      </c>
      <c r="J13" s="34">
        <f>Olawale_conf!I24</f>
        <v>0</v>
      </c>
      <c r="K13" s="34">
        <f>Olawale_conf!J24</f>
        <v>4.4728434504792327</v>
      </c>
      <c r="L13" s="34">
        <f>Olawale_conf!K24</f>
        <v>3.3183856502242155</v>
      </c>
      <c r="M13" s="34">
        <f>Olawale_conf!L24</f>
        <v>0</v>
      </c>
      <c r="N13" s="34">
        <f>Olawale_conf!M24</f>
        <v>0</v>
      </c>
      <c r="P13" s="35" t="s">
        <v>5</v>
      </c>
      <c r="Q13" s="34">
        <f>'GIR_conf '!B24</f>
        <v>5.5375790557434916</v>
      </c>
      <c r="R13" s="34">
        <f>'GIR_conf '!C24</f>
        <v>0.52115266707541386</v>
      </c>
      <c r="S13" s="34">
        <f>'GIR_conf '!D24</f>
        <v>1.3666898309010886</v>
      </c>
      <c r="T13" s="34">
        <f>'GIR_conf '!E24</f>
        <v>27.311146328578971</v>
      </c>
      <c r="U13" s="34">
        <f>'GIR_conf '!F24</f>
        <v>6.435643564356436</v>
      </c>
      <c r="V13" s="34">
        <f>'GIR_conf '!G24</f>
        <v>64.195319961795605</v>
      </c>
      <c r="W13" s="34">
        <f>'GIR_conf '!H24</f>
        <v>1.2461059190031152</v>
      </c>
      <c r="X13" s="34">
        <f>'GIR_conf '!I24</f>
        <v>0</v>
      </c>
      <c r="Y13" s="34">
        <f>'GIR_conf '!J24</f>
        <v>8.5287846481876333</v>
      </c>
      <c r="Z13" s="34">
        <f>'GIR_conf '!K24</f>
        <v>4.5602605863192185</v>
      </c>
      <c r="AA13" s="34">
        <f>'GIR_conf '!L24</f>
        <v>0</v>
      </c>
      <c r="AB13" s="34">
        <f>'GIR_conf '!M24</f>
        <v>0</v>
      </c>
      <c r="AD13" s="40" t="s">
        <v>5</v>
      </c>
      <c r="AE13" s="41">
        <f>Olawale_conf!B7*'scoring matrix'!C9-'GIR_conf '!B7*'scoring matrix'!C9</f>
        <v>-602</v>
      </c>
      <c r="AF13" s="41">
        <f>Olawale_conf!C7*'scoring matrix'!D9-'GIR_conf '!C7*'scoring matrix'!D9</f>
        <v>266.25</v>
      </c>
      <c r="AG13" s="41">
        <f>Olawale_conf!D7*'scoring matrix'!E9-'GIR_conf '!D7*'scoring matrix'!E9</f>
        <v>84</v>
      </c>
      <c r="AH13" s="41">
        <f>Olawale_conf!E7*'scoring matrix'!F9-'GIR_conf '!E7*'scoring matrix'!F9</f>
        <v>-60</v>
      </c>
      <c r="AI13" s="41">
        <f>Olawale_conf!F7*'scoring matrix'!G9-'GIR_conf '!F7*'scoring matrix'!G9</f>
        <v>-28.875</v>
      </c>
      <c r="AJ13" s="41">
        <f>Olawale_conf!G7*'scoring matrix'!H9-'GIR_conf '!G7*'scoring matrix'!H9</f>
        <v>0</v>
      </c>
      <c r="AK13" s="41">
        <f>Olawale_conf!H7*'scoring matrix'!I9-'GIR_conf '!H7*'scoring matrix'!I9</f>
        <v>251.625</v>
      </c>
      <c r="AL13" s="41">
        <f>Olawale_conf!I7*'scoring matrix'!J9-'GIR_conf '!I7*'scoring matrix'!J9</f>
        <v>0</v>
      </c>
      <c r="AM13" s="41">
        <f>Olawale_conf!J7*'scoring matrix'!K9-'GIR_conf '!J7*'scoring matrix'!K9</f>
        <v>-45</v>
      </c>
      <c r="AN13" s="41">
        <f>Olawale_conf!K7*'scoring matrix'!L9-'GIR_conf '!K7*'scoring matrix'!L9</f>
        <v>31.5</v>
      </c>
      <c r="AO13" s="41">
        <f>Olawale_conf!L7*'scoring matrix'!M9-'GIR_conf '!L7*'scoring matrix'!M9</f>
        <v>0</v>
      </c>
      <c r="AP13" s="41">
        <f>Olawale_conf!M7*'scoring matrix'!N9-'GIR_conf '!M7*'scoring matrix'!N9</f>
        <v>0</v>
      </c>
    </row>
    <row r="14" spans="2:44" x14ac:dyDescent="0.25">
      <c r="B14" s="3" t="s">
        <v>6</v>
      </c>
      <c r="C14" s="34">
        <f>Olawale_conf!B25</f>
        <v>0.54069236710905133</v>
      </c>
      <c r="D14" s="34">
        <f>Olawale_conf!C25</f>
        <v>0</v>
      </c>
      <c r="E14" s="34">
        <f>Olawale_conf!D25</f>
        <v>1.2580515297906602E-3</v>
      </c>
      <c r="F14" s="34">
        <f>Olawale_conf!E25</f>
        <v>0.15673981191222569</v>
      </c>
      <c r="G14" s="34">
        <f>Olawale_conf!F25</f>
        <v>0</v>
      </c>
      <c r="H14" s="34">
        <f>Olawale_conf!G25</f>
        <v>21.103858925913201</v>
      </c>
      <c r="I14" s="34">
        <f>Olawale_conf!H25</f>
        <v>76.886792452830193</v>
      </c>
      <c r="J14" s="34">
        <f>Olawale_conf!I25</f>
        <v>0</v>
      </c>
      <c r="K14" s="34">
        <f>Olawale_conf!J25</f>
        <v>0</v>
      </c>
      <c r="L14" s="34">
        <f>Olawale_conf!K25</f>
        <v>0</v>
      </c>
      <c r="M14" s="34">
        <f>Olawale_conf!L25</f>
        <v>0</v>
      </c>
      <c r="N14" s="34">
        <f>Olawale_conf!M25</f>
        <v>0</v>
      </c>
      <c r="P14" s="35" t="s">
        <v>6</v>
      </c>
      <c r="Q14" s="34">
        <f>'GIR_conf '!B25</f>
        <v>0.36770113251948816</v>
      </c>
      <c r="R14" s="34">
        <f>'GIR_conf '!C25</f>
        <v>0</v>
      </c>
      <c r="S14" s="34">
        <f>'GIR_conf '!D25</f>
        <v>0</v>
      </c>
      <c r="T14" s="34">
        <f>'GIR_conf '!E25</f>
        <v>1.2942419440042261</v>
      </c>
      <c r="U14" s="34">
        <f>'GIR_conf '!F25</f>
        <v>0</v>
      </c>
      <c r="V14" s="34">
        <f>'GIR_conf '!G25</f>
        <v>19.734957020057305</v>
      </c>
      <c r="W14" s="34">
        <f>'GIR_conf '!H25</f>
        <v>89.797507788161994</v>
      </c>
      <c r="X14" s="34">
        <f>'GIR_conf '!I25</f>
        <v>0</v>
      </c>
      <c r="Y14" s="34">
        <f>'GIR_conf '!J25</f>
        <v>0</v>
      </c>
      <c r="Z14" s="34">
        <f>'GIR_conf '!K25</f>
        <v>0</v>
      </c>
      <c r="AA14" s="34">
        <f>'GIR_conf '!L25</f>
        <v>0</v>
      </c>
      <c r="AB14" s="34">
        <f>'GIR_conf '!M25</f>
        <v>0</v>
      </c>
      <c r="AD14" s="40" t="s">
        <v>6</v>
      </c>
      <c r="AE14" s="41">
        <f>Olawale_conf!B8*'scoring matrix'!C10-'GIR_conf '!B8*'scoring matrix'!C10</f>
        <v>94.5</v>
      </c>
      <c r="AF14" s="41">
        <f>Olawale_conf!C8*'scoring matrix'!D10-'GIR_conf '!C8*'scoring matrix'!D10</f>
        <v>0</v>
      </c>
      <c r="AG14" s="41">
        <f>Olawale_conf!D8*'scoring matrix'!E10-'GIR_conf '!D8*'scoring matrix'!E10</f>
        <v>3.75</v>
      </c>
      <c r="AH14" s="41">
        <f>Olawale_conf!E8*'scoring matrix'!F10-'GIR_conf '!E8*'scoring matrix'!F10</f>
        <v>-96.75</v>
      </c>
      <c r="AI14" s="41">
        <f>Olawale_conf!F8*'scoring matrix'!G10-'GIR_conf '!F8*'scoring matrix'!G10</f>
        <v>0</v>
      </c>
      <c r="AJ14" s="41">
        <f>Olawale_conf!G8*'scoring matrix'!H10-'GIR_conf '!G8*'scoring matrix'!H10</f>
        <v>261.25</v>
      </c>
      <c r="AK14" s="41">
        <f>Olawale_conf!H8*'scoring matrix'!I10-'GIR_conf '!H8*'scoring matrix'!I10</f>
        <v>0</v>
      </c>
      <c r="AL14" s="41">
        <f>Olawale_conf!I8*'scoring matrix'!J10-'GIR_conf '!I8*'scoring matrix'!J10</f>
        <v>0</v>
      </c>
      <c r="AM14" s="41">
        <f>Olawale_conf!J8*'scoring matrix'!K10-'GIR_conf '!J8*'scoring matrix'!K10</f>
        <v>0</v>
      </c>
      <c r="AN14" s="41">
        <f>Olawale_conf!K8*'scoring matrix'!L10-'GIR_conf '!K8*'scoring matrix'!L10</f>
        <v>0</v>
      </c>
      <c r="AO14" s="41">
        <f>Olawale_conf!L8*'scoring matrix'!M10-'GIR_conf '!L8*'scoring matrix'!M10</f>
        <v>0</v>
      </c>
      <c r="AP14" s="41">
        <f>Olawale_conf!M8*'scoring matrix'!N10-'GIR_conf '!M8*'scoring matrix'!N10</f>
        <v>0</v>
      </c>
    </row>
    <row r="15" spans="2:44" x14ac:dyDescent="0.25">
      <c r="B15" s="3" t="s">
        <v>7</v>
      </c>
      <c r="C15" s="34">
        <f>Olawale_conf!B26</f>
        <v>0</v>
      </c>
      <c r="D15" s="34">
        <f>Olawale_conf!C26</f>
        <v>0</v>
      </c>
      <c r="E15" s="34">
        <f>Olawale_conf!D26</f>
        <v>2.6419082125603864E-2</v>
      </c>
      <c r="F15" s="34">
        <f>Olawale_conf!E26</f>
        <v>0</v>
      </c>
      <c r="G15" s="34">
        <f>Olawale_conf!F26</f>
        <v>27.777777777777779</v>
      </c>
      <c r="H15" s="34">
        <f>Olawale_conf!G26</f>
        <v>8.0155731134776129E-2</v>
      </c>
      <c r="I15" s="34">
        <f>Olawale_conf!H26</f>
        <v>0</v>
      </c>
      <c r="J15" s="34">
        <f>Olawale_conf!I26</f>
        <v>98.852157943067027</v>
      </c>
      <c r="K15" s="34">
        <f>Olawale_conf!J26</f>
        <v>0.95846645367412142</v>
      </c>
      <c r="L15" s="34">
        <f>Olawale_conf!K26</f>
        <v>0</v>
      </c>
      <c r="M15" s="34">
        <f>Olawale_conf!L26</f>
        <v>0</v>
      </c>
      <c r="N15" s="34">
        <f>Olawale_conf!M26</f>
        <v>0</v>
      </c>
      <c r="P15" s="35" t="s">
        <v>7</v>
      </c>
      <c r="Q15" s="34">
        <f>'GIR_conf '!B26</f>
        <v>5.8832181203118103E-2</v>
      </c>
      <c r="R15" s="34">
        <f>'GIR_conf '!C26</f>
        <v>0</v>
      </c>
      <c r="S15" s="34">
        <f>'GIR_conf '!D26</f>
        <v>0.25738038246724837</v>
      </c>
      <c r="T15" s="34">
        <f>'GIR_conf '!E26</f>
        <v>0</v>
      </c>
      <c r="U15" s="34">
        <f>'GIR_conf '!F26</f>
        <v>13.366336633663368</v>
      </c>
      <c r="V15" s="34">
        <f>'GIR_conf '!G26</f>
        <v>2.387774594078319E-2</v>
      </c>
      <c r="W15" s="34">
        <f>'GIR_conf '!H26</f>
        <v>0</v>
      </c>
      <c r="X15" s="34">
        <f>'GIR_conf '!I26</f>
        <v>98.784913997159535</v>
      </c>
      <c r="Y15" s="34">
        <f>'GIR_conf '!J26</f>
        <v>0.21321961620469082</v>
      </c>
      <c r="Z15" s="34">
        <f>'GIR_conf '!K26</f>
        <v>0</v>
      </c>
      <c r="AA15" s="34">
        <f>'GIR_conf '!L26</f>
        <v>0</v>
      </c>
      <c r="AB15" s="34">
        <f>'GIR_conf '!M26</f>
        <v>0</v>
      </c>
      <c r="AD15" s="40" t="s">
        <v>7</v>
      </c>
      <c r="AE15" s="41">
        <f>Olawale_conf!B9*'scoring matrix'!C11-'GIR_conf '!B9*'scoring matrix'!C11</f>
        <v>-32</v>
      </c>
      <c r="AF15" s="41">
        <f>Olawale_conf!C9*'scoring matrix'!D11-'GIR_conf '!C9*'scoring matrix'!D11</f>
        <v>0</v>
      </c>
      <c r="AG15" s="41">
        <f>Olawale_conf!D9*'scoring matrix'!E11-'GIR_conf '!D9*'scoring matrix'!E11</f>
        <v>-716</v>
      </c>
      <c r="AH15" s="41">
        <f>Olawale_conf!E9*'scoring matrix'!F11-'GIR_conf '!E9*'scoring matrix'!F11</f>
        <v>0</v>
      </c>
      <c r="AI15" s="41">
        <f>Olawale_conf!F9*'scoring matrix'!G11-'GIR_conf '!F9*'scoring matrix'!G11</f>
        <v>-82.5</v>
      </c>
      <c r="AJ15" s="41">
        <f>Olawale_conf!G9*'scoring matrix'!H11-'GIR_conf '!G9*'scoring matrix'!H11</f>
        <v>20</v>
      </c>
      <c r="AK15" s="41">
        <f>Olawale_conf!H9*'scoring matrix'!I11-'GIR_conf '!H9*'scoring matrix'!I11</f>
        <v>0</v>
      </c>
      <c r="AL15" s="41">
        <f>Olawale_conf!I9*'scoring matrix'!J11-'GIR_conf '!I9*'scoring matrix'!J11</f>
        <v>0</v>
      </c>
      <c r="AM15" s="41">
        <f>Olawale_conf!J9*'scoring matrix'!K11-'GIR_conf '!J9*'scoring matrix'!K11</f>
        <v>13.75</v>
      </c>
      <c r="AN15" s="41">
        <f>Olawale_conf!K9*'scoring matrix'!L11-'GIR_conf '!K9*'scoring matrix'!L11</f>
        <v>0</v>
      </c>
      <c r="AO15" s="41">
        <f>Olawale_conf!L9*'scoring matrix'!M11-'GIR_conf '!L9*'scoring matrix'!M11</f>
        <v>0</v>
      </c>
      <c r="AP15" s="41">
        <f>Olawale_conf!M9*'scoring matrix'!N11-'GIR_conf '!M9*'scoring matrix'!N11</f>
        <v>0</v>
      </c>
    </row>
    <row r="16" spans="2:44" x14ac:dyDescent="0.25">
      <c r="B16" s="3" t="s">
        <v>12</v>
      </c>
      <c r="C16" s="34">
        <f>Olawale_conf!B27</f>
        <v>0.12639561828523277</v>
      </c>
      <c r="D16" s="34">
        <f>Olawale_conf!C27</f>
        <v>0</v>
      </c>
      <c r="E16" s="34">
        <f>Olawale_conf!D27</f>
        <v>8.8063607085346208E-3</v>
      </c>
      <c r="F16" s="34">
        <f>Olawale_conf!E27</f>
        <v>0</v>
      </c>
      <c r="G16" s="34">
        <f>Olawale_conf!F27</f>
        <v>55.555555555555557</v>
      </c>
      <c r="H16" s="34">
        <f>Olawale_conf!G27</f>
        <v>0.41222947440742008</v>
      </c>
      <c r="I16" s="34">
        <f>Olawale_conf!H27</f>
        <v>0</v>
      </c>
      <c r="J16" s="34">
        <f>Olawale_conf!I27</f>
        <v>0.90296908478726656</v>
      </c>
      <c r="K16" s="34">
        <f>Olawale_conf!J27</f>
        <v>74.600638977635782</v>
      </c>
      <c r="L16" s="34">
        <f>Olawale_conf!K27</f>
        <v>0</v>
      </c>
      <c r="M16" s="34">
        <f>Olawale_conf!L27</f>
        <v>0</v>
      </c>
      <c r="N16" s="34">
        <f>Olawale_conf!M27</f>
        <v>0</v>
      </c>
      <c r="P16" s="35" t="s">
        <v>12</v>
      </c>
      <c r="Q16" s="34">
        <f>'GIR_conf '!B27</f>
        <v>0.14708045300779526</v>
      </c>
      <c r="R16" s="34">
        <f>'GIR_conf '!C27</f>
        <v>3.0656039239730225E-2</v>
      </c>
      <c r="S16" s="34">
        <f>'GIR_conf '!D27</f>
        <v>9.0083133863536925E-3</v>
      </c>
      <c r="T16" s="34">
        <f>'GIR_conf '!E27</f>
        <v>0</v>
      </c>
      <c r="U16" s="34">
        <f>'GIR_conf '!F27</f>
        <v>30.198019801980198</v>
      </c>
      <c r="V16" s="34">
        <f>'GIR_conf '!G27</f>
        <v>0.44173829990448904</v>
      </c>
      <c r="W16" s="34">
        <f>'GIR_conf '!H27</f>
        <v>0</v>
      </c>
      <c r="X16" s="34">
        <f>'GIR_conf '!I27</f>
        <v>1.1835253274420072</v>
      </c>
      <c r="Y16" s="34">
        <f>'GIR_conf '!J27</f>
        <v>84.008528784648178</v>
      </c>
      <c r="Z16" s="34">
        <f>'GIR_conf '!K27</f>
        <v>0</v>
      </c>
      <c r="AA16" s="34">
        <f>'GIR_conf '!L27</f>
        <v>0</v>
      </c>
      <c r="AB16" s="34">
        <f>'GIR_conf '!M27</f>
        <v>0</v>
      </c>
      <c r="AD16" s="40" t="s">
        <v>12</v>
      </c>
      <c r="AE16" s="41">
        <f>Olawale_conf!B10*'scoring matrix'!C12-'GIR_conf '!B10*'scoring matrix'!C12</f>
        <v>-8</v>
      </c>
      <c r="AF16" s="41">
        <f>Olawale_conf!C10*'scoring matrix'!D12-'GIR_conf '!C10*'scoring matrix'!D12</f>
        <v>-12</v>
      </c>
      <c r="AG16" s="41">
        <f>Olawale_conf!D10*'scoring matrix'!E12-'GIR_conf '!D10*'scoring matrix'!E12</f>
        <v>0</v>
      </c>
      <c r="AH16" s="41">
        <f>Olawale_conf!E10*'scoring matrix'!F12-'GIR_conf '!E10*'scoring matrix'!F12</f>
        <v>0</v>
      </c>
      <c r="AI16" s="41">
        <f>Olawale_conf!F10*'scoring matrix'!G12-'GIR_conf '!F10*'scoring matrix'!G12</f>
        <v>-165.75</v>
      </c>
      <c r="AJ16" s="41">
        <f>Olawale_conf!G10*'scoring matrix'!H12-'GIR_conf '!G10*'scoring matrix'!H12</f>
        <v>-3.75</v>
      </c>
      <c r="AK16" s="41">
        <f>Olawale_conf!H10*'scoring matrix'!I12-'GIR_conf '!H10*'scoring matrix'!I12</f>
        <v>0</v>
      </c>
      <c r="AL16" s="41">
        <f>Olawale_conf!I10*'scoring matrix'!J12-'GIR_conf '!I10*'scoring matrix'!J12</f>
        <v>-44</v>
      </c>
      <c r="AM16" s="41">
        <f>Olawale_conf!J10*'scoring matrix'!K12-'GIR_conf '!J10*'scoring matrix'!K12</f>
        <v>0</v>
      </c>
      <c r="AN16" s="41">
        <f>Olawale_conf!K10*'scoring matrix'!L12-'GIR_conf '!K10*'scoring matrix'!L12</f>
        <v>0</v>
      </c>
      <c r="AO16" s="41">
        <f>Olawale_conf!L10*'scoring matrix'!M12-'GIR_conf '!L10*'scoring matrix'!M12</f>
        <v>0</v>
      </c>
      <c r="AP16" s="41">
        <f>Olawale_conf!M10*'scoring matrix'!N12-'GIR_conf '!M10*'scoring matrix'!N12</f>
        <v>0</v>
      </c>
    </row>
    <row r="17" spans="2:42" x14ac:dyDescent="0.25">
      <c r="B17" s="3" t="s">
        <v>8</v>
      </c>
      <c r="C17" s="34">
        <f>Olawale_conf!B28</f>
        <v>7.021978793624044E-3</v>
      </c>
      <c r="D17" s="34">
        <f>Olawale_conf!C28</f>
        <v>0</v>
      </c>
      <c r="E17" s="34">
        <f>Olawale_conf!D28</f>
        <v>0.27677133655394526</v>
      </c>
      <c r="F17" s="34">
        <f>Olawale_conf!E28</f>
        <v>0</v>
      </c>
      <c r="G17" s="34">
        <f>Olawale_conf!F28</f>
        <v>0</v>
      </c>
      <c r="H17" s="34">
        <f>Olawale_conf!G28</f>
        <v>0.10305736860185502</v>
      </c>
      <c r="I17" s="34">
        <f>Olawale_conf!H28</f>
        <v>0</v>
      </c>
      <c r="J17" s="34">
        <f>Olawale_conf!I28</f>
        <v>0</v>
      </c>
      <c r="K17" s="34">
        <f>Olawale_conf!J28</f>
        <v>0</v>
      </c>
      <c r="L17" s="34">
        <f>Olawale_conf!K28</f>
        <v>63.766816143497763</v>
      </c>
      <c r="M17" s="34">
        <f>Olawale_conf!L28</f>
        <v>0</v>
      </c>
      <c r="N17" s="34">
        <f>Olawale_conf!M28</f>
        <v>0</v>
      </c>
      <c r="P17" s="35" t="s">
        <v>8</v>
      </c>
      <c r="Q17" s="34">
        <f>'GIR_conf '!B28</f>
        <v>0.85306662744521256</v>
      </c>
      <c r="R17" s="34">
        <f>'GIR_conf '!C28</f>
        <v>2.0437359493153485E-2</v>
      </c>
      <c r="S17" s="34">
        <f>'GIR_conf '!D28</f>
        <v>0.6267212313077497</v>
      </c>
      <c r="T17" s="34">
        <f>'GIR_conf '!E28</f>
        <v>0</v>
      </c>
      <c r="U17" s="34">
        <f>'GIR_conf '!F28</f>
        <v>0</v>
      </c>
      <c r="V17" s="34">
        <f>'GIR_conf '!G28</f>
        <v>0.10744985673352436</v>
      </c>
      <c r="W17" s="34">
        <f>'GIR_conf '!H28</f>
        <v>0</v>
      </c>
      <c r="X17" s="34">
        <f>'GIR_conf '!I28</f>
        <v>0</v>
      </c>
      <c r="Y17" s="34">
        <f>'GIR_conf '!J28</f>
        <v>0</v>
      </c>
      <c r="Z17" s="34">
        <f>'GIR_conf '!K28</f>
        <v>53.257328990228018</v>
      </c>
      <c r="AA17" s="34">
        <f>'GIR_conf '!L28</f>
        <v>0</v>
      </c>
      <c r="AB17" s="34">
        <f>'GIR_conf '!M28</f>
        <v>0</v>
      </c>
      <c r="AD17" s="40" t="s">
        <v>8</v>
      </c>
      <c r="AE17" s="41">
        <f>Olawale_conf!B11*'scoring matrix'!C13-'GIR_conf '!B11*'scoring matrix'!C13</f>
        <v>-287.5</v>
      </c>
      <c r="AF17" s="41">
        <f>Olawale_conf!C11*'scoring matrix'!D13-'GIR_conf '!C11*'scoring matrix'!D13</f>
        <v>-6</v>
      </c>
      <c r="AG17" s="41">
        <f>Olawale_conf!D11*'scoring matrix'!E13-'GIR_conf '!D11*'scoring matrix'!E13</f>
        <v>-734.25</v>
      </c>
      <c r="AH17" s="41">
        <f>Olawale_conf!E11*'scoring matrix'!F13-'GIR_conf '!E11*'scoring matrix'!F13</f>
        <v>0</v>
      </c>
      <c r="AI17" s="41">
        <f>Olawale_conf!F11*'scoring matrix'!G13-'GIR_conf '!F11*'scoring matrix'!G13</f>
        <v>0</v>
      </c>
      <c r="AJ17" s="41">
        <f>Olawale_conf!G11*'scoring matrix'!H13-'GIR_conf '!G11*'scoring matrix'!H13</f>
        <v>0</v>
      </c>
      <c r="AK17" s="41">
        <f>Olawale_conf!H11*'scoring matrix'!I13-'GIR_conf '!H11*'scoring matrix'!I13</f>
        <v>0</v>
      </c>
      <c r="AL17" s="41">
        <f>Olawale_conf!I11*'scoring matrix'!J13-'GIR_conf '!I11*'scoring matrix'!J13</f>
        <v>0</v>
      </c>
      <c r="AM17" s="41">
        <f>Olawale_conf!J11*'scoring matrix'!K13-'GIR_conf '!J11*'scoring matrix'!K13</f>
        <v>0</v>
      </c>
      <c r="AN17" s="41">
        <f>Olawale_conf!K11*'scoring matrix'!L13-'GIR_conf '!K11*'scoring matrix'!L13</f>
        <v>0</v>
      </c>
      <c r="AO17" s="41">
        <f>Olawale_conf!L11*'scoring matrix'!M13-'GIR_conf '!L11*'scoring matrix'!M13</f>
        <v>0</v>
      </c>
      <c r="AP17" s="41">
        <f>Olawale_conf!M11*'scoring matrix'!N13-'GIR_conf '!M11*'scoring matrix'!N13</f>
        <v>0</v>
      </c>
    </row>
    <row r="18" spans="2:42" x14ac:dyDescent="0.25">
      <c r="B18" s="3" t="s">
        <v>9</v>
      </c>
      <c r="C18" s="34">
        <f>Olawale_conf!B29</f>
        <v>0.21768134260234537</v>
      </c>
      <c r="D18" s="34">
        <f>Olawale_conf!C29</f>
        <v>0.29836683417085424</v>
      </c>
      <c r="E18" s="34">
        <f>Olawale_conf!D29</f>
        <v>6.5418679549114331E-2</v>
      </c>
      <c r="F18" s="34">
        <f>Olawale_conf!E29</f>
        <v>0</v>
      </c>
      <c r="G18" s="34">
        <f>Olawale_conf!F29</f>
        <v>0</v>
      </c>
      <c r="H18" s="34">
        <f>Olawale_conf!G29</f>
        <v>2.2901637467078895E-2</v>
      </c>
      <c r="I18" s="34">
        <f>Olawale_conf!H29</f>
        <v>0</v>
      </c>
      <c r="J18" s="34">
        <f>Olawale_conf!I29</f>
        <v>0</v>
      </c>
      <c r="K18" s="34">
        <f>Olawale_conf!J29</f>
        <v>0</v>
      </c>
      <c r="L18" s="34">
        <f>Olawale_conf!K29</f>
        <v>0</v>
      </c>
      <c r="M18" s="34">
        <f>Olawale_conf!L29</f>
        <v>80.459770114942529</v>
      </c>
      <c r="N18" s="34">
        <f>Olawale_conf!M29</f>
        <v>0</v>
      </c>
      <c r="P18" s="35" t="s">
        <v>9</v>
      </c>
      <c r="Q18" s="34">
        <f>'GIR_conf '!B29</f>
        <v>9.5602294455066919E-2</v>
      </c>
      <c r="R18" s="34">
        <f>'GIR_conf '!C29</f>
        <v>0.16349887594522788</v>
      </c>
      <c r="S18" s="34">
        <f>'GIR_conf '!D29</f>
        <v>4.3754665019432218E-2</v>
      </c>
      <c r="T18" s="34">
        <f>'GIR_conf '!E29</f>
        <v>0</v>
      </c>
      <c r="U18" s="34">
        <f>'GIR_conf '!F29</f>
        <v>0</v>
      </c>
      <c r="V18" s="34">
        <f>'GIR_conf '!G29</f>
        <v>0</v>
      </c>
      <c r="W18" s="34">
        <f>'GIR_conf '!H29</f>
        <v>0</v>
      </c>
      <c r="X18" s="34">
        <f>'GIR_conf '!I29</f>
        <v>0</v>
      </c>
      <c r="Y18" s="34">
        <f>'GIR_conf '!J29</f>
        <v>0</v>
      </c>
      <c r="Z18" s="34">
        <f>'GIR_conf '!K29</f>
        <v>0</v>
      </c>
      <c r="AA18" s="34">
        <f>'GIR_conf '!L29</f>
        <v>75.73221757322176</v>
      </c>
      <c r="AB18" s="34">
        <f>'GIR_conf '!M29</f>
        <v>0</v>
      </c>
      <c r="AD18" s="40" t="s">
        <v>9</v>
      </c>
      <c r="AE18" s="41">
        <f>Olawale_conf!B12*'scoring matrix'!C14-'GIR_conf '!B12*'scoring matrix'!C14</f>
        <v>69.75</v>
      </c>
      <c r="AF18" s="41">
        <f>Olawale_conf!C12*'scoring matrix'!D14-'GIR_conf '!C12*'scoring matrix'!D14</f>
        <v>11.25</v>
      </c>
      <c r="AG18" s="41">
        <f>Olawale_conf!D12*'scoring matrix'!E14-'GIR_conf '!D12*'scoring matrix'!E14</f>
        <v>58.5</v>
      </c>
      <c r="AH18" s="41">
        <f>Olawale_conf!E12*'scoring matrix'!F14-'GIR_conf '!E12*'scoring matrix'!F14</f>
        <v>0</v>
      </c>
      <c r="AI18" s="41">
        <f>Olawale_conf!F12*'scoring matrix'!G14-'GIR_conf '!F12*'scoring matrix'!G14</f>
        <v>0</v>
      </c>
      <c r="AJ18" s="41">
        <f>Olawale_conf!G12*'scoring matrix'!H14-'GIR_conf '!G12*'scoring matrix'!H14</f>
        <v>8</v>
      </c>
      <c r="AK18" s="41">
        <f>Olawale_conf!H12*'scoring matrix'!I14-'GIR_conf '!H12*'scoring matrix'!I14</f>
        <v>0</v>
      </c>
      <c r="AL18" s="41">
        <f>Olawale_conf!I12*'scoring matrix'!J14-'GIR_conf '!I12*'scoring matrix'!J14</f>
        <v>0</v>
      </c>
      <c r="AM18" s="41">
        <f>Olawale_conf!J12*'scoring matrix'!K14-'GIR_conf '!J12*'scoring matrix'!K14</f>
        <v>0</v>
      </c>
      <c r="AN18" s="41">
        <f>Olawale_conf!K12*'scoring matrix'!L14-'GIR_conf '!K12*'scoring matrix'!L14</f>
        <v>0</v>
      </c>
      <c r="AO18" s="41">
        <f>Olawale_conf!L12*'scoring matrix'!M14-'GIR_conf '!L12*'scoring matrix'!M14</f>
        <v>0</v>
      </c>
      <c r="AP18" s="41">
        <f>Olawale_conf!M12*'scoring matrix'!N14-'GIR_conf '!M12*'scoring matrix'!N14</f>
        <v>0</v>
      </c>
    </row>
    <row r="19" spans="2:42" x14ac:dyDescent="0.25">
      <c r="B19" s="3" t="s">
        <v>10</v>
      </c>
      <c r="C19" s="34">
        <f>Olawale_conf!B30</f>
        <v>0</v>
      </c>
      <c r="D19" s="34">
        <f>Olawale_conf!C30</f>
        <v>0</v>
      </c>
      <c r="E19" s="34">
        <f>Olawale_conf!D30</f>
        <v>0</v>
      </c>
      <c r="F19" s="34">
        <f>Olawale_conf!E30</f>
        <v>0</v>
      </c>
      <c r="G19" s="34">
        <f>Olawale_conf!F30</f>
        <v>0</v>
      </c>
      <c r="H19" s="34">
        <f>Olawale_conf!G30</f>
        <v>0</v>
      </c>
      <c r="I19" s="34">
        <f>Olawale_conf!H30</f>
        <v>0</v>
      </c>
      <c r="J19" s="34">
        <f>Olawale_conf!I30</f>
        <v>0</v>
      </c>
      <c r="K19" s="34">
        <f>Olawale_conf!J30</f>
        <v>0</v>
      </c>
      <c r="L19" s="34">
        <f>Olawale_conf!K30</f>
        <v>0</v>
      </c>
      <c r="M19" s="34">
        <f>Olawale_conf!L30</f>
        <v>0</v>
      </c>
      <c r="N19" s="34">
        <f>Olawale_conf!M30</f>
        <v>0</v>
      </c>
      <c r="P19" s="35" t="s">
        <v>10</v>
      </c>
      <c r="Q19" s="34">
        <f>'GIR_conf '!B30</f>
        <v>0</v>
      </c>
      <c r="R19" s="34">
        <f>'GIR_conf '!C30</f>
        <v>0</v>
      </c>
      <c r="S19" s="34">
        <f>'GIR_conf '!D30</f>
        <v>0</v>
      </c>
      <c r="T19" s="34">
        <f>'GIR_conf '!E30</f>
        <v>0</v>
      </c>
      <c r="U19" s="34">
        <f>'GIR_conf '!F30</f>
        <v>0</v>
      </c>
      <c r="V19" s="34">
        <f>'GIR_conf '!G30</f>
        <v>0</v>
      </c>
      <c r="W19" s="34">
        <f>'GIR_conf '!H30</f>
        <v>0</v>
      </c>
      <c r="X19" s="34">
        <f>'GIR_conf '!I30</f>
        <v>0</v>
      </c>
      <c r="Y19" s="34">
        <f>'GIR_conf '!J30</f>
        <v>0</v>
      </c>
      <c r="Z19" s="34">
        <f>'GIR_conf '!K30</f>
        <v>0</v>
      </c>
      <c r="AA19" s="34">
        <f>'GIR_conf '!L30</f>
        <v>0</v>
      </c>
      <c r="AB19" s="34">
        <f>'GIR_conf '!M30</f>
        <v>0</v>
      </c>
      <c r="AD19" s="40" t="s">
        <v>10</v>
      </c>
      <c r="AE19" s="41">
        <f>Olawale_conf!B13*'scoring matrix'!C15-'GIR_conf '!B13*'scoring matrix'!C15</f>
        <v>0</v>
      </c>
      <c r="AF19" s="41">
        <f>Olawale_conf!C13*'scoring matrix'!D15-'GIR_conf '!C13*'scoring matrix'!D15</f>
        <v>0</v>
      </c>
      <c r="AG19" s="41">
        <f>Olawale_conf!D13*'scoring matrix'!E15-'GIR_conf '!D13*'scoring matrix'!E15</f>
        <v>0</v>
      </c>
      <c r="AH19" s="41">
        <f>Olawale_conf!E13*'scoring matrix'!F15-'GIR_conf '!E13*'scoring matrix'!F15</f>
        <v>0</v>
      </c>
      <c r="AI19" s="41">
        <f>Olawale_conf!F13*'scoring matrix'!G15-'GIR_conf '!F13*'scoring matrix'!G15</f>
        <v>0</v>
      </c>
      <c r="AJ19" s="41">
        <f>Olawale_conf!G13*'scoring matrix'!H15-'GIR_conf '!G13*'scoring matrix'!H15</f>
        <v>0</v>
      </c>
      <c r="AK19" s="41">
        <f>Olawale_conf!H13*'scoring matrix'!I15-'GIR_conf '!H13*'scoring matrix'!I15</f>
        <v>0</v>
      </c>
      <c r="AL19" s="41">
        <f>Olawale_conf!I13*'scoring matrix'!J15-'GIR_conf '!I13*'scoring matrix'!J15</f>
        <v>0</v>
      </c>
      <c r="AM19" s="41">
        <f>Olawale_conf!J13*'scoring matrix'!K15-'GIR_conf '!J13*'scoring matrix'!K15</f>
        <v>0</v>
      </c>
      <c r="AN19" s="41">
        <f>Olawale_conf!K13*'scoring matrix'!L15-'GIR_conf '!K13*'scoring matrix'!L15</f>
        <v>0</v>
      </c>
      <c r="AO19" s="41">
        <f>Olawale_conf!L13*'scoring matrix'!M15-'GIR_conf '!L13*'scoring matrix'!M15</f>
        <v>0</v>
      </c>
      <c r="AP19" s="41">
        <f>Olawale_conf!M13*'scoring matrix'!N15-'GIR_conf '!M13*'scoring matrix'!N15</f>
        <v>0</v>
      </c>
    </row>
    <row r="20" spans="2:42" x14ac:dyDescent="0.25">
      <c r="AE20" s="44" t="s">
        <v>37</v>
      </c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</row>
    <row r="21" spans="2:42" ht="127.5" x14ac:dyDescent="0.45">
      <c r="B21" s="38" t="s">
        <v>38</v>
      </c>
      <c r="C21" s="32" t="s">
        <v>13</v>
      </c>
      <c r="D21" s="32" t="s">
        <v>14</v>
      </c>
      <c r="E21" s="32" t="s">
        <v>15</v>
      </c>
      <c r="F21" s="32" t="s">
        <v>16</v>
      </c>
      <c r="G21" s="32" t="s">
        <v>17</v>
      </c>
      <c r="H21" s="32" t="s">
        <v>18</v>
      </c>
      <c r="I21" s="32" t="s">
        <v>19</v>
      </c>
      <c r="J21" s="32" t="s">
        <v>20</v>
      </c>
      <c r="K21" s="32" t="s">
        <v>21</v>
      </c>
      <c r="L21" s="32" t="s">
        <v>22</v>
      </c>
      <c r="M21" s="32" t="s">
        <v>23</v>
      </c>
      <c r="N21" s="32" t="s">
        <v>24</v>
      </c>
      <c r="P21" s="33" t="s">
        <v>29</v>
      </c>
      <c r="Q21" s="32" t="s">
        <v>13</v>
      </c>
      <c r="R21" s="32" t="s">
        <v>14</v>
      </c>
      <c r="S21" s="32" t="s">
        <v>15</v>
      </c>
      <c r="T21" s="32" t="s">
        <v>16</v>
      </c>
      <c r="U21" s="32" t="s">
        <v>17</v>
      </c>
      <c r="V21" s="32" t="s">
        <v>18</v>
      </c>
      <c r="W21" s="32" t="s">
        <v>19</v>
      </c>
      <c r="X21" s="32" t="s">
        <v>20</v>
      </c>
      <c r="Y21" s="32" t="s">
        <v>21</v>
      </c>
      <c r="Z21" s="32" t="s">
        <v>22</v>
      </c>
      <c r="AA21" s="32" t="s">
        <v>23</v>
      </c>
      <c r="AB21" s="32" t="s">
        <v>24</v>
      </c>
      <c r="AD21" s="43" t="s">
        <v>39</v>
      </c>
      <c r="AE21" s="39" t="s">
        <v>13</v>
      </c>
      <c r="AF21" s="39" t="s">
        <v>14</v>
      </c>
      <c r="AG21" s="39" t="s">
        <v>15</v>
      </c>
      <c r="AH21" s="39" t="s">
        <v>16</v>
      </c>
      <c r="AI21" s="39" t="s">
        <v>17</v>
      </c>
      <c r="AJ21" s="39" t="s">
        <v>18</v>
      </c>
      <c r="AK21" s="39" t="s">
        <v>19</v>
      </c>
      <c r="AL21" s="39" t="s">
        <v>20</v>
      </c>
      <c r="AM21" s="39" t="s">
        <v>21</v>
      </c>
      <c r="AN21" s="39" t="s">
        <v>22</v>
      </c>
      <c r="AO21" s="39" t="s">
        <v>23</v>
      </c>
      <c r="AP21" s="39" t="s">
        <v>24</v>
      </c>
    </row>
    <row r="22" spans="2:42" x14ac:dyDescent="0.25">
      <c r="B22" s="3" t="s">
        <v>1</v>
      </c>
      <c r="C22" s="34">
        <f>ICA_conf!B19</f>
        <v>71.284332415448702</v>
      </c>
      <c r="D22" s="34">
        <f>ICA_conf!C19</f>
        <v>19.15282088734709</v>
      </c>
      <c r="E22" s="34">
        <f>ICA_conf!D19</f>
        <v>2.396058819138613</v>
      </c>
      <c r="F22" s="34">
        <f>ICA_conf!E19</f>
        <v>8.602569093032308</v>
      </c>
      <c r="G22" s="34">
        <f>ICA_conf!F19</f>
        <v>0</v>
      </c>
      <c r="H22" s="34">
        <f>ICA_conf!G19</f>
        <v>7.5851550584646672</v>
      </c>
      <c r="I22" s="34">
        <f>ICA_conf!H19</f>
        <v>0</v>
      </c>
      <c r="J22" s="34">
        <f>ICA_conf!I19</f>
        <v>0</v>
      </c>
      <c r="K22" s="34">
        <f>ICA_conf!J19</f>
        <v>0</v>
      </c>
      <c r="L22" s="34">
        <f>ICA_conf!K19</f>
        <v>0.55821371610845294</v>
      </c>
      <c r="M22" s="34">
        <f>ICA_conf!L19</f>
        <v>0</v>
      </c>
      <c r="N22" s="34">
        <f>ICA_conf!M19</f>
        <v>0</v>
      </c>
      <c r="P22" s="35" t="s">
        <v>1</v>
      </c>
      <c r="Q22" s="34">
        <f>H3G_conf!B19</f>
        <v>79.455286296375732</v>
      </c>
      <c r="R22" s="34">
        <f>H3G_conf!C19</f>
        <v>14.393679148059086</v>
      </c>
      <c r="S22" s="34">
        <f>H3G_conf!D19</f>
        <v>2.3411699711497147</v>
      </c>
      <c r="T22" s="34">
        <f>H3G_conf!E19</f>
        <v>1.9991401547721408</v>
      </c>
      <c r="U22" s="34">
        <f>H3G_conf!F19</f>
        <v>0</v>
      </c>
      <c r="V22" s="34">
        <f>H3G_conf!G19</f>
        <v>5.1216520139030868</v>
      </c>
      <c r="W22" s="34">
        <f>H3G_conf!H19</f>
        <v>0</v>
      </c>
      <c r="X22" s="34">
        <f>H3G_conf!I19</f>
        <v>0</v>
      </c>
      <c r="Y22" s="34">
        <f>H3G_conf!J19</f>
        <v>0.36231884057971014</v>
      </c>
      <c r="Z22" s="34">
        <f>H3G_conf!K19</f>
        <v>0.88062622309197647</v>
      </c>
      <c r="AA22" s="34">
        <f>H3G_conf!L19</f>
        <v>0</v>
      </c>
      <c r="AB22" s="34">
        <f>H3G_conf!M19</f>
        <v>0</v>
      </c>
      <c r="AD22" s="40" t="s">
        <v>1</v>
      </c>
      <c r="AE22" s="41">
        <f>Olawale_conf!B2*'scoring matrix'!C4-H3G_conf!B2*'scoring matrix'!C4</f>
        <v>0</v>
      </c>
      <c r="AF22" s="41">
        <f>Olawale_conf!C2*'scoring matrix'!D4-H3G_conf!C2*'scoring matrix'!D4</f>
        <v>1772</v>
      </c>
      <c r="AG22" s="41">
        <f>Olawale_conf!D2*'scoring matrix'!E4-H3G_conf!D2*'scoring matrix'!E4</f>
        <v>-2768.5</v>
      </c>
      <c r="AH22" s="41">
        <f>Olawale_conf!E2*'scoring matrix'!F4-H3G_conf!E2*'scoring matrix'!F4</f>
        <v>354</v>
      </c>
      <c r="AI22" s="41">
        <f>Olawale_conf!F2*'scoring matrix'!G4-H3G_conf!F2*'scoring matrix'!G4</f>
        <v>0</v>
      </c>
      <c r="AJ22" s="41">
        <f>Olawale_conf!G2*'scoring matrix'!H4-H3G_conf!G2*'scoring matrix'!H4</f>
        <v>-941.5</v>
      </c>
      <c r="AK22" s="41">
        <f>Olawale_conf!H2*'scoring matrix'!I4-H3G_conf!H2*'scoring matrix'!I4</f>
        <v>0</v>
      </c>
      <c r="AL22" s="41">
        <f>Olawale_conf!I2*'scoring matrix'!J4-H3G_conf!I2*'scoring matrix'!J4</f>
        <v>0</v>
      </c>
      <c r="AM22" s="41">
        <f>Olawale_conf!J2*'scoring matrix'!K4-H3G_conf!J2*'scoring matrix'!K4</f>
        <v>-4</v>
      </c>
      <c r="AN22" s="41">
        <f>Olawale_conf!K2*'scoring matrix'!L4-H3G_conf!K2*'scoring matrix'!L4</f>
        <v>-22.5</v>
      </c>
      <c r="AO22" s="41">
        <f>Olawale_conf!L2*'scoring matrix'!M4-H3G_conf!L2*'scoring matrix'!M4</f>
        <v>0</v>
      </c>
      <c r="AP22" s="41">
        <f>Olawale_conf!M2*'scoring matrix'!N4-H3G_conf!M2*'scoring matrix'!N4</f>
        <v>0</v>
      </c>
    </row>
    <row r="23" spans="2:42" x14ac:dyDescent="0.25">
      <c r="B23" s="4" t="s">
        <v>2</v>
      </c>
      <c r="C23" s="34">
        <f>ICA_conf!B20</f>
        <v>15.123914424909977</v>
      </c>
      <c r="D23" s="34">
        <f>ICA_conf!C20</f>
        <v>58.572211064451338</v>
      </c>
      <c r="E23" s="34">
        <f>ICA_conf!D20</f>
        <v>8.2344305939140607</v>
      </c>
      <c r="F23" s="34">
        <f>ICA_conf!E20</f>
        <v>2.9194239003503308</v>
      </c>
      <c r="G23" s="34">
        <f>ICA_conf!F20</f>
        <v>0</v>
      </c>
      <c r="H23" s="34">
        <f>ICA_conf!G20</f>
        <v>0.74224707676664969</v>
      </c>
      <c r="I23" s="34">
        <f>ICA_conf!H20</f>
        <v>0</v>
      </c>
      <c r="J23" s="34">
        <f>ICA_conf!I20</f>
        <v>0</v>
      </c>
      <c r="K23" s="34">
        <f>ICA_conf!J20</f>
        <v>0</v>
      </c>
      <c r="L23" s="34">
        <f>ICA_conf!K20</f>
        <v>11.004784688995215</v>
      </c>
      <c r="M23" s="34">
        <f>ICA_conf!L20</f>
        <v>10.37037037037037</v>
      </c>
      <c r="N23" s="34">
        <f>ICA_conf!M20</f>
        <v>0</v>
      </c>
      <c r="P23" s="35" t="s">
        <v>2</v>
      </c>
      <c r="Q23" s="34">
        <f>H3G_conf!B20</f>
        <v>11.723497033383373</v>
      </c>
      <c r="R23" s="34">
        <f>H3G_conf!C20</f>
        <v>64.41085537615939</v>
      </c>
      <c r="S23" s="34">
        <f>H3G_conf!D20</f>
        <v>10.109876618992082</v>
      </c>
      <c r="T23" s="34">
        <f>H3G_conf!E20</f>
        <v>6.2983662940670673</v>
      </c>
      <c r="U23" s="34">
        <f>H3G_conf!F20</f>
        <v>0</v>
      </c>
      <c r="V23" s="34">
        <f>H3G_conf!G20</f>
        <v>0.82805152320588826</v>
      </c>
      <c r="W23" s="34">
        <f>H3G_conf!H20</f>
        <v>0</v>
      </c>
      <c r="X23" s="34">
        <f>H3G_conf!I20</f>
        <v>0</v>
      </c>
      <c r="Y23" s="34">
        <f>H3G_conf!J20</f>
        <v>0</v>
      </c>
      <c r="Z23" s="34">
        <f>H3G_conf!K20</f>
        <v>14.187866927592955</v>
      </c>
      <c r="AA23" s="34">
        <f>H3G_conf!L20</f>
        <v>7.2538860103626934</v>
      </c>
      <c r="AB23" s="34">
        <f>H3G_conf!M20</f>
        <v>0</v>
      </c>
      <c r="AD23" s="42" t="s">
        <v>2</v>
      </c>
      <c r="AE23" s="41">
        <f>Olawale_conf!B3*'scoring matrix'!C5-H3G_conf!B3*'scoring matrix'!C5</f>
        <v>348</v>
      </c>
      <c r="AF23" s="41">
        <f>Olawale_conf!C3*'scoring matrix'!D5-H3G_conf!C3*'scoring matrix'!D5</f>
        <v>0</v>
      </c>
      <c r="AG23" s="41">
        <f>Olawale_conf!D3*'scoring matrix'!E5-H3G_conf!D3*'scoring matrix'!E5</f>
        <v>-3885.5</v>
      </c>
      <c r="AH23" s="41">
        <f>Olawale_conf!E3*'scoring matrix'!F5-H3G_conf!E3*'scoring matrix'!F5</f>
        <v>-338.25</v>
      </c>
      <c r="AI23" s="41">
        <f>Olawale_conf!F3*'scoring matrix'!G5-H3G_conf!F3*'scoring matrix'!G5</f>
        <v>0</v>
      </c>
      <c r="AJ23" s="41">
        <f>Olawale_conf!G3*'scoring matrix'!H5-H3G_conf!G3*'scoring matrix'!H5</f>
        <v>-210</v>
      </c>
      <c r="AK23" s="41">
        <f>Olawale_conf!H3*'scoring matrix'!I5-H3G_conf!H3*'scoring matrix'!I5</f>
        <v>0</v>
      </c>
      <c r="AL23" s="41">
        <f>Olawale_conf!I3*'scoring matrix'!J5-H3G_conf!I3*'scoring matrix'!J5</f>
        <v>0</v>
      </c>
      <c r="AM23" s="41">
        <f>Olawale_conf!J3*'scoring matrix'!K5-H3G_conf!J3*'scoring matrix'!K5</f>
        <v>0</v>
      </c>
      <c r="AN23" s="41">
        <f>Olawale_conf!K3*'scoring matrix'!L5-H3G_conf!K3*'scoring matrix'!L5</f>
        <v>-36</v>
      </c>
      <c r="AO23" s="41">
        <f>Olawale_conf!L3*'scoring matrix'!M5-H3G_conf!L3*'scoring matrix'!M5</f>
        <v>-15</v>
      </c>
      <c r="AP23" s="41">
        <f>Olawale_conf!M3*'scoring matrix'!N5-H3G_conf!M3*'scoring matrix'!N5</f>
        <v>0</v>
      </c>
    </row>
    <row r="24" spans="2:42" x14ac:dyDescent="0.25">
      <c r="B24" s="3" t="s">
        <v>3</v>
      </c>
      <c r="C24" s="34">
        <f>ICA_conf!B21</f>
        <v>4.7306361646543813</v>
      </c>
      <c r="D24" s="34">
        <f>ICA_conf!C21</f>
        <v>12.908526565638123</v>
      </c>
      <c r="E24" s="34">
        <f>ICA_conf!D21</f>
        <v>86.097633798611625</v>
      </c>
      <c r="F24" s="34">
        <f>ICA_conf!E21</f>
        <v>22.148695990657842</v>
      </c>
      <c r="G24" s="34">
        <f>ICA_conf!F21</f>
        <v>0</v>
      </c>
      <c r="H24" s="34">
        <f>ICA_conf!G21</f>
        <v>3.0299949161159123</v>
      </c>
      <c r="I24" s="34">
        <f>ICA_conf!H21</f>
        <v>0.42492917847025502</v>
      </c>
      <c r="J24" s="34">
        <f>ICA_conf!I21</f>
        <v>0.1525320317266626</v>
      </c>
      <c r="K24" s="34">
        <f>ICA_conf!J21</f>
        <v>2.0876826722338206</v>
      </c>
      <c r="L24" s="34">
        <f>ICA_conf!K21</f>
        <v>23.843700159489632</v>
      </c>
      <c r="M24" s="34">
        <f>ICA_conf!L21</f>
        <v>18.888888888888889</v>
      </c>
      <c r="N24" s="34">
        <f>ICA_conf!M21</f>
        <v>0</v>
      </c>
      <c r="P24" s="35" t="s">
        <v>3</v>
      </c>
      <c r="Q24" s="34">
        <f>H3G_conf!B21</f>
        <v>3.5742369004217602</v>
      </c>
      <c r="R24" s="34">
        <f>H3G_conf!C21</f>
        <v>10.340089316386122</v>
      </c>
      <c r="S24" s="34">
        <f>H3G_conf!D21</f>
        <v>83.999754465655883</v>
      </c>
      <c r="T24" s="34">
        <f>H3G_conf!E21</f>
        <v>43.637145313843504</v>
      </c>
      <c r="U24" s="34">
        <f>H3G_conf!F21</f>
        <v>0</v>
      </c>
      <c r="V24" s="34">
        <f>H3G_conf!G21</f>
        <v>3.1281946432222449</v>
      </c>
      <c r="W24" s="34">
        <f>H3G_conf!H21</f>
        <v>3.3434650455927049</v>
      </c>
      <c r="X24" s="34">
        <f>H3G_conf!I21</f>
        <v>3.0926240915416729E-2</v>
      </c>
      <c r="Y24" s="34">
        <f>H3G_conf!J21</f>
        <v>3.9855072463768111</v>
      </c>
      <c r="Z24" s="34">
        <f>H3G_conf!K21</f>
        <v>16.829745596868882</v>
      </c>
      <c r="AA24" s="34">
        <f>H3G_conf!L21</f>
        <v>14.507772020725387</v>
      </c>
      <c r="AB24" s="34">
        <f>H3G_conf!M21</f>
        <v>0</v>
      </c>
      <c r="AD24" s="40" t="s">
        <v>3</v>
      </c>
      <c r="AE24" s="41">
        <f>Olawale_conf!B4*'scoring matrix'!C6-H3G_conf!B4*'scoring matrix'!C6</f>
        <v>56</v>
      </c>
      <c r="AF24" s="41">
        <f>Olawale_conf!C4*'scoring matrix'!D6-H3G_conf!C4*'scoring matrix'!D6</f>
        <v>1422.625</v>
      </c>
      <c r="AG24" s="41">
        <f>Olawale_conf!D4*'scoring matrix'!E6-H3G_conf!D4*'scoring matrix'!E6</f>
        <v>0</v>
      </c>
      <c r="AH24" s="41">
        <f>Olawale_conf!E4*'scoring matrix'!F6-H3G_conf!E4*'scoring matrix'!F6</f>
        <v>-1538</v>
      </c>
      <c r="AI24" s="41">
        <f>Olawale_conf!F4*'scoring matrix'!G6-H3G_conf!F4*'scoring matrix'!G6</f>
        <v>0</v>
      </c>
      <c r="AJ24" s="41">
        <f>Olawale_conf!G4*'scoring matrix'!H6-H3G_conf!G4*'scoring matrix'!H6</f>
        <v>-248.5</v>
      </c>
      <c r="AK24" s="41">
        <f>Olawale_conf!H4*'scoring matrix'!I6-H3G_conf!H4*'scoring matrix'!I6</f>
        <v>-93.75</v>
      </c>
      <c r="AL24" s="41">
        <f>Olawale_conf!I4*'scoring matrix'!J6-H3G_conf!I4*'scoring matrix'!J6</f>
        <v>48</v>
      </c>
      <c r="AM24" s="41">
        <f>Olawale_conf!J4*'scoring matrix'!K6-H3G_conf!J4*'scoring matrix'!K6</f>
        <v>-8</v>
      </c>
      <c r="AN24" s="41">
        <f>Olawale_conf!K4*'scoring matrix'!L6-H3G_conf!K4*'scoring matrix'!L6</f>
        <v>170.5</v>
      </c>
      <c r="AO24" s="41">
        <f>Olawale_conf!L4*'scoring matrix'!M6-H3G_conf!L4*'scoring matrix'!M6</f>
        <v>-13</v>
      </c>
      <c r="AP24" s="41">
        <f>Olawale_conf!M4*'scoring matrix'!N6-H3G_conf!M4*'scoring matrix'!N6</f>
        <v>0</v>
      </c>
    </row>
    <row r="25" spans="2:42" x14ac:dyDescent="0.25">
      <c r="B25" s="3" t="s">
        <v>11</v>
      </c>
      <c r="C25" s="34">
        <f>ICA_conf!B22</f>
        <v>0.96024853491491913</v>
      </c>
      <c r="D25" s="34">
        <f>ICA_conf!C22</f>
        <v>8.8004381960927507</v>
      </c>
      <c r="E25" s="34">
        <f>ICA_conf!D22</f>
        <v>1.5563185787862954</v>
      </c>
      <c r="F25" s="34">
        <f>ICA_conf!E22</f>
        <v>48.034254573764116</v>
      </c>
      <c r="G25" s="34">
        <f>ICA_conf!F22</f>
        <v>0</v>
      </c>
      <c r="H25" s="34">
        <f>ICA_conf!G22</f>
        <v>12.841891204880529</v>
      </c>
      <c r="I25" s="34">
        <f>ICA_conf!H22</f>
        <v>2.1246458923512748</v>
      </c>
      <c r="J25" s="34">
        <f>ICA_conf!I22</f>
        <v>0</v>
      </c>
      <c r="K25" s="34">
        <f>ICA_conf!J22</f>
        <v>0</v>
      </c>
      <c r="L25" s="34">
        <f>ICA_conf!K22</f>
        <v>0</v>
      </c>
      <c r="M25" s="34">
        <f>ICA_conf!L22</f>
        <v>0</v>
      </c>
      <c r="N25" s="34">
        <f>ICA_conf!M22</f>
        <v>0</v>
      </c>
      <c r="P25" s="35" t="s">
        <v>11</v>
      </c>
      <c r="Q25" s="34">
        <f>H3G_conf!B22</f>
        <v>0.1072271070126528</v>
      </c>
      <c r="R25" s="34">
        <f>H3G_conf!C22</f>
        <v>6.4926142219168677</v>
      </c>
      <c r="S25" s="34">
        <f>H3G_conf!D22</f>
        <v>1.9384936467988458</v>
      </c>
      <c r="T25" s="34">
        <f>H3G_conf!E22</f>
        <v>31.728288907996561</v>
      </c>
      <c r="U25" s="34">
        <f>H3G_conf!F22</f>
        <v>0</v>
      </c>
      <c r="V25" s="34">
        <f>H3G_conf!G22</f>
        <v>10.611326927008792</v>
      </c>
      <c r="W25" s="34">
        <f>H3G_conf!H22</f>
        <v>6.0182370820668689</v>
      </c>
      <c r="X25" s="34">
        <f>H3G_conf!I22</f>
        <v>0</v>
      </c>
      <c r="Y25" s="34">
        <f>H3G_conf!J22</f>
        <v>0</v>
      </c>
      <c r="Z25" s="34">
        <f>H3G_conf!K22</f>
        <v>0</v>
      </c>
      <c r="AA25" s="34">
        <f>H3G_conf!L22</f>
        <v>0</v>
      </c>
      <c r="AB25" s="34">
        <f>H3G_conf!M22</f>
        <v>0</v>
      </c>
      <c r="AD25" s="40" t="s">
        <v>11</v>
      </c>
      <c r="AE25" s="41">
        <f>Olawale_conf!B5*'scoring matrix'!C7-H3G_conf!B5*'scoring matrix'!C7</f>
        <v>6</v>
      </c>
      <c r="AF25" s="41">
        <f>Olawale_conf!C5*'scoring matrix'!D7-H3G_conf!C5*'scoring matrix'!D7</f>
        <v>827.75</v>
      </c>
      <c r="AG25" s="41">
        <f>Olawale_conf!D5*'scoring matrix'!E7-H3G_conf!D5*'scoring matrix'!E7</f>
        <v>100</v>
      </c>
      <c r="AH25" s="41">
        <f>Olawale_conf!E5*'scoring matrix'!F7-H3G_conf!E5*'scoring matrix'!F7</f>
        <v>0</v>
      </c>
      <c r="AI25" s="41">
        <f>Olawale_conf!F5*'scoring matrix'!G7-H3G_conf!F5*'scoring matrix'!G7</f>
        <v>0</v>
      </c>
      <c r="AJ25" s="41">
        <f>Olawale_conf!G5*'scoring matrix'!H7-H3G_conf!G5*'scoring matrix'!H7</f>
        <v>-36</v>
      </c>
      <c r="AK25" s="41">
        <f>Olawale_conf!H5*'scoring matrix'!I7-H3G_conf!H5*'scoring matrix'!I7</f>
        <v>-76.5</v>
      </c>
      <c r="AL25" s="41">
        <f>Olawale_conf!I5*'scoring matrix'!J7-H3G_conf!I5*'scoring matrix'!J7</f>
        <v>0</v>
      </c>
      <c r="AM25" s="41">
        <f>Olawale_conf!J5*'scoring matrix'!K7-H3G_conf!J5*'scoring matrix'!K7</f>
        <v>0</v>
      </c>
      <c r="AN25" s="41">
        <f>Olawale_conf!K5*'scoring matrix'!L7-H3G_conf!K5*'scoring matrix'!L7</f>
        <v>0</v>
      </c>
      <c r="AO25" s="41">
        <f>Olawale_conf!L5*'scoring matrix'!M7-H3G_conf!L5*'scoring matrix'!M7</f>
        <v>0</v>
      </c>
      <c r="AP25" s="41">
        <f>Olawale_conf!M5*'scoring matrix'!N7-H3G_conf!M5*'scoring matrix'!N7</f>
        <v>0</v>
      </c>
    </row>
    <row r="26" spans="2:42" x14ac:dyDescent="0.25">
      <c r="B26" s="3" t="s">
        <v>4</v>
      </c>
      <c r="C26" s="34">
        <f>ICA_conf!B23</f>
        <v>7.0606509920214649E-3</v>
      </c>
      <c r="D26" s="34">
        <f>ICA_conf!C23</f>
        <v>0</v>
      </c>
      <c r="E26" s="34">
        <f>ICA_conf!D23</f>
        <v>0.17914458460849442</v>
      </c>
      <c r="F26" s="34">
        <f>ICA_conf!E23</f>
        <v>0.1557026080186843</v>
      </c>
      <c r="G26" s="34">
        <f>ICA_conf!F23</f>
        <v>0</v>
      </c>
      <c r="H26" s="34">
        <f>ICA_conf!G23</f>
        <v>0.30503304524656838</v>
      </c>
      <c r="I26" s="34">
        <f>ICA_conf!H23</f>
        <v>0</v>
      </c>
      <c r="J26" s="34">
        <f>ICA_conf!I23</f>
        <v>0.12202562538133008</v>
      </c>
      <c r="K26" s="34">
        <f>ICA_conf!J23</f>
        <v>20.876826722338205</v>
      </c>
      <c r="L26" s="34">
        <f>ICA_conf!K23</f>
        <v>0</v>
      </c>
      <c r="M26" s="34">
        <f>ICA_conf!L23</f>
        <v>0</v>
      </c>
      <c r="N26" s="34">
        <f>ICA_conf!M23</f>
        <v>0</v>
      </c>
      <c r="P26" s="35" t="s">
        <v>4</v>
      </c>
      <c r="Q26" s="34">
        <f>H3G_conf!B23</f>
        <v>9.293015941096576E-2</v>
      </c>
      <c r="R26" s="34">
        <f>H3G_conf!C23</f>
        <v>0</v>
      </c>
      <c r="S26" s="34">
        <f>H3G_conf!D23</f>
        <v>0.16696335399914061</v>
      </c>
      <c r="T26" s="34">
        <f>H3G_conf!E23</f>
        <v>2.1496130696474634E-2</v>
      </c>
      <c r="U26" s="34">
        <f>H3G_conf!F23</f>
        <v>40</v>
      </c>
      <c r="V26" s="34">
        <f>H3G_conf!G23</f>
        <v>1.2983030055203435</v>
      </c>
      <c r="W26" s="34">
        <f>H3G_conf!H23</f>
        <v>0</v>
      </c>
      <c r="X26" s="34">
        <f>H3G_conf!I23</f>
        <v>0</v>
      </c>
      <c r="Y26" s="34">
        <f>H3G_conf!J23</f>
        <v>2.8985507246376812</v>
      </c>
      <c r="Z26" s="34">
        <f>H3G_conf!K23</f>
        <v>0</v>
      </c>
      <c r="AA26" s="34">
        <f>H3G_conf!L23</f>
        <v>0</v>
      </c>
      <c r="AB26" s="34">
        <f>H3G_conf!M23</f>
        <v>0</v>
      </c>
      <c r="AD26" s="40" t="s">
        <v>4</v>
      </c>
      <c r="AE26" s="41">
        <f>Olawale_conf!B6*'scoring matrix'!C8-H3G_conf!B6*'scoring matrix'!C8</f>
        <v>-30</v>
      </c>
      <c r="AF26" s="41">
        <f>Olawale_conf!C6*'scoring matrix'!D8-H3G_conf!C6*'scoring matrix'!D8</f>
        <v>0</v>
      </c>
      <c r="AG26" s="41">
        <f>Olawale_conf!D6*'scoring matrix'!E8-H3G_conf!D6*'scoring matrix'!E8</f>
        <v>59.5</v>
      </c>
      <c r="AH26" s="41">
        <f>Olawale_conf!E6*'scoring matrix'!F8-H3G_conf!E6*'scoring matrix'!F8</f>
        <v>0</v>
      </c>
      <c r="AI26" s="41">
        <f>Olawale_conf!F6*'scoring matrix'!G8-H3G_conf!F6*'scoring matrix'!G8</f>
        <v>0</v>
      </c>
      <c r="AJ26" s="41">
        <f>Olawale_conf!G6*'scoring matrix'!H8-H3G_conf!G6*'scoring matrix'!H8</f>
        <v>-309.75</v>
      </c>
      <c r="AK26" s="41">
        <f>Olawale_conf!H6*'scoring matrix'!I8-H3G_conf!H6*'scoring matrix'!I8</f>
        <v>0</v>
      </c>
      <c r="AL26" s="41">
        <f>Olawale_conf!I6*'scoring matrix'!J8-H3G_conf!I6*'scoring matrix'!J8</f>
        <v>7.5</v>
      </c>
      <c r="AM26" s="41">
        <f>Olawale_conf!J6*'scoring matrix'!K8-H3G_conf!J6*'scoring matrix'!K8</f>
        <v>351</v>
      </c>
      <c r="AN26" s="41">
        <f>Olawale_conf!K6*'scoring matrix'!L8-H3G_conf!K6*'scoring matrix'!L8</f>
        <v>0</v>
      </c>
      <c r="AO26" s="41">
        <f>Olawale_conf!L6*'scoring matrix'!M8-H3G_conf!L6*'scoring matrix'!M8</f>
        <v>0</v>
      </c>
      <c r="AP26" s="41">
        <f>Olawale_conf!M6*'scoring matrix'!N8-H3G_conf!M6*'scoring matrix'!N8</f>
        <v>0</v>
      </c>
    </row>
    <row r="27" spans="2:42" x14ac:dyDescent="0.25">
      <c r="B27" s="3" t="s">
        <v>5</v>
      </c>
      <c r="C27" s="34">
        <f>ICA_conf!B24</f>
        <v>6.1780696180187809</v>
      </c>
      <c r="D27" s="34">
        <f>ICA_conf!C24</f>
        <v>0.49297060434544454</v>
      </c>
      <c r="E27" s="34">
        <f>ICA_conf!D24</f>
        <v>1.2515239730287877</v>
      </c>
      <c r="F27" s="34">
        <f>ICA_conf!E24</f>
        <v>18.100428182172053</v>
      </c>
      <c r="G27" s="34">
        <f>ICA_conf!F24</f>
        <v>0</v>
      </c>
      <c r="H27" s="34">
        <f>ICA_conf!G24</f>
        <v>58.129130655821051</v>
      </c>
      <c r="I27" s="34">
        <f>ICA_conf!H24</f>
        <v>17.138810198300284</v>
      </c>
      <c r="J27" s="34">
        <f>ICA_conf!I24</f>
        <v>0</v>
      </c>
      <c r="K27" s="34">
        <f>ICA_conf!J24</f>
        <v>0</v>
      </c>
      <c r="L27" s="34">
        <f>ICA_conf!K24</f>
        <v>3.3492822966507179</v>
      </c>
      <c r="M27" s="34">
        <f>ICA_conf!L24</f>
        <v>0</v>
      </c>
      <c r="N27" s="34">
        <f>ICA_conf!M24</f>
        <v>0</v>
      </c>
      <c r="P27" s="35" t="s">
        <v>5</v>
      </c>
      <c r="Q27" s="34">
        <f>H3G_conf!B24</f>
        <v>3.617127743226821</v>
      </c>
      <c r="R27" s="34">
        <f>H3G_conf!C24</f>
        <v>4.0535898316729639</v>
      </c>
      <c r="S27" s="34">
        <f>H3G_conf!D24</f>
        <v>1.0054631391565896</v>
      </c>
      <c r="T27" s="34">
        <f>H3G_conf!E24</f>
        <v>16.165090283748924</v>
      </c>
      <c r="U27" s="34">
        <f>H3G_conf!F24</f>
        <v>40</v>
      </c>
      <c r="V27" s="34">
        <f>H3G_conf!G24</f>
        <v>60.028624003271311</v>
      </c>
      <c r="W27" s="34">
        <f>H3G_conf!H24</f>
        <v>16.595744680851062</v>
      </c>
      <c r="X27" s="34">
        <f>H3G_conf!I24</f>
        <v>0</v>
      </c>
      <c r="Y27" s="34">
        <f>H3G_conf!J24</f>
        <v>0</v>
      </c>
      <c r="Z27" s="34">
        <f>H3G_conf!K24</f>
        <v>3.131115459882583</v>
      </c>
      <c r="AA27" s="34">
        <f>H3G_conf!L24</f>
        <v>0</v>
      </c>
      <c r="AB27" s="34">
        <f>H3G_conf!M24</f>
        <v>0</v>
      </c>
      <c r="AD27" s="40" t="s">
        <v>5</v>
      </c>
      <c r="AE27" s="41">
        <f>Olawale_conf!B7*'scoring matrix'!C9-H3G_conf!B7*'scoring matrix'!C9</f>
        <v>262.5</v>
      </c>
      <c r="AF27" s="41">
        <f>Olawale_conf!C7*'scoring matrix'!D9-H3G_conf!C7*'scoring matrix'!D9</f>
        <v>15</v>
      </c>
      <c r="AG27" s="41">
        <f>Olawale_conf!D7*'scoring matrix'!E9-H3G_conf!D7*'scoring matrix'!E9</f>
        <v>934.5</v>
      </c>
      <c r="AH27" s="41">
        <f>Olawale_conf!E7*'scoring matrix'!F9-H3G_conf!E7*'scoring matrix'!F9</f>
        <v>504</v>
      </c>
      <c r="AI27" s="41">
        <f>Olawale_conf!F7*'scoring matrix'!G9-H3G_conf!F7*'scoring matrix'!G9</f>
        <v>0</v>
      </c>
      <c r="AJ27" s="41">
        <f>Olawale_conf!G7*'scoring matrix'!H9-H3G_conf!G7*'scoring matrix'!H9</f>
        <v>0</v>
      </c>
      <c r="AK27" s="41">
        <f>Olawale_conf!H7*'scoring matrix'!I9-H3G_conf!H7*'scoring matrix'!I9</f>
        <v>-101.75</v>
      </c>
      <c r="AL27" s="41">
        <f>Olawale_conf!I7*'scoring matrix'!J9-H3G_conf!I7*'scoring matrix'!J9</f>
        <v>0</v>
      </c>
      <c r="AM27" s="41">
        <f>Olawale_conf!J7*'scoring matrix'!K9-H3G_conf!J7*'scoring matrix'!K9</f>
        <v>105</v>
      </c>
      <c r="AN27" s="41">
        <f>Olawale_conf!K7*'scoring matrix'!L9-H3G_conf!K7*'scoring matrix'!L9</f>
        <v>17.5</v>
      </c>
      <c r="AO27" s="41">
        <f>Olawale_conf!L7*'scoring matrix'!M9-H3G_conf!L7*'scoring matrix'!M9</f>
        <v>0</v>
      </c>
      <c r="AP27" s="41">
        <f>Olawale_conf!M7*'scoring matrix'!N9-H3G_conf!M7*'scoring matrix'!N9</f>
        <v>0</v>
      </c>
    </row>
    <row r="28" spans="2:42" x14ac:dyDescent="0.25">
      <c r="B28" s="3" t="s">
        <v>6</v>
      </c>
      <c r="C28" s="34">
        <f>ICA_conf!B25</f>
        <v>1.5251006142766361</v>
      </c>
      <c r="D28" s="34">
        <f>ICA_conf!C25</f>
        <v>0</v>
      </c>
      <c r="E28" s="34">
        <f>ICA_conf!D25</f>
        <v>1.2440596153367671E-3</v>
      </c>
      <c r="F28" s="34">
        <f>ICA_conf!E25</f>
        <v>3.8925652004671074E-2</v>
      </c>
      <c r="G28" s="34">
        <f>ICA_conf!F25</f>
        <v>0</v>
      </c>
      <c r="H28" s="34">
        <f>ICA_conf!G25</f>
        <v>15.790543975597357</v>
      </c>
      <c r="I28" s="34">
        <f>ICA_conf!H25</f>
        <v>80.31161473087819</v>
      </c>
      <c r="J28" s="34">
        <f>ICA_conf!I25</f>
        <v>0</v>
      </c>
      <c r="K28" s="34">
        <f>ICA_conf!J25</f>
        <v>0</v>
      </c>
      <c r="L28" s="34">
        <f>ICA_conf!K25</f>
        <v>0</v>
      </c>
      <c r="M28" s="34">
        <f>ICA_conf!L25</f>
        <v>0</v>
      </c>
      <c r="N28" s="34">
        <f>ICA_conf!M25</f>
        <v>0</v>
      </c>
      <c r="P28" s="35" t="s">
        <v>6</v>
      </c>
      <c r="Q28" s="34">
        <f>H3G_conf!B25</f>
        <v>0.9507470155121881</v>
      </c>
      <c r="R28" s="34">
        <f>H3G_conf!C25</f>
        <v>0</v>
      </c>
      <c r="S28" s="34">
        <f>H3G_conf!D25</f>
        <v>1.2276717205819165E-3</v>
      </c>
      <c r="T28" s="34">
        <f>H3G_conf!E25</f>
        <v>0.10748065348237318</v>
      </c>
      <c r="U28" s="34">
        <f>H3G_conf!F25</f>
        <v>0</v>
      </c>
      <c r="V28" s="34">
        <f>H3G_conf!G25</f>
        <v>15.824984665712533</v>
      </c>
      <c r="W28" s="34">
        <f>H3G_conf!H25</f>
        <v>74.042553191489361</v>
      </c>
      <c r="X28" s="34">
        <f>H3G_conf!I25</f>
        <v>0</v>
      </c>
      <c r="Y28" s="34">
        <f>H3G_conf!J25</f>
        <v>0</v>
      </c>
      <c r="Z28" s="34">
        <f>H3G_conf!K25</f>
        <v>0</v>
      </c>
      <c r="AA28" s="34">
        <f>H3G_conf!L25</f>
        <v>0</v>
      </c>
      <c r="AB28" s="34">
        <f>H3G_conf!M25</f>
        <v>0</v>
      </c>
      <c r="AD28" s="40" t="s">
        <v>6</v>
      </c>
      <c r="AE28" s="41">
        <f>Olawale_conf!B8*'scoring matrix'!C10-H3G_conf!B8*'scoring matrix'!C10</f>
        <v>-196</v>
      </c>
      <c r="AF28" s="41">
        <f>Olawale_conf!C8*'scoring matrix'!D10-H3G_conf!C8*'scoring matrix'!D10</f>
        <v>0</v>
      </c>
      <c r="AG28" s="41">
        <f>Olawale_conf!D8*'scoring matrix'!E10-H3G_conf!D8*'scoring matrix'!E10</f>
        <v>0</v>
      </c>
      <c r="AH28" s="41">
        <f>Olawale_conf!E8*'scoring matrix'!F10-H3G_conf!E8*'scoring matrix'!F10</f>
        <v>2.25</v>
      </c>
      <c r="AI28" s="41">
        <f>Olawale_conf!F8*'scoring matrix'!G10-H3G_conf!F8*'scoring matrix'!G10</f>
        <v>0</v>
      </c>
      <c r="AJ28" s="41">
        <f>Olawale_conf!G8*'scoring matrix'!H10-H3G_conf!G8*'scoring matrix'!H10</f>
        <v>405.625</v>
      </c>
      <c r="AK28" s="41">
        <f>Olawale_conf!H8*'scoring matrix'!I10-H3G_conf!H8*'scoring matrix'!I10</f>
        <v>0</v>
      </c>
      <c r="AL28" s="41">
        <f>Olawale_conf!I8*'scoring matrix'!J10-H3G_conf!I8*'scoring matrix'!J10</f>
        <v>0</v>
      </c>
      <c r="AM28" s="41">
        <f>Olawale_conf!J8*'scoring matrix'!K10-H3G_conf!J8*'scoring matrix'!K10</f>
        <v>0</v>
      </c>
      <c r="AN28" s="41">
        <f>Olawale_conf!K8*'scoring matrix'!L10-H3G_conf!K8*'scoring matrix'!L10</f>
        <v>0</v>
      </c>
      <c r="AO28" s="41">
        <f>Olawale_conf!L8*'scoring matrix'!M10-H3G_conf!L8*'scoring matrix'!M10</f>
        <v>0</v>
      </c>
      <c r="AP28" s="41">
        <f>Olawale_conf!M8*'scoring matrix'!N10-H3G_conf!M8*'scoring matrix'!N10</f>
        <v>0</v>
      </c>
    </row>
    <row r="29" spans="2:42" x14ac:dyDescent="0.25">
      <c r="B29" s="3" t="s">
        <v>7</v>
      </c>
      <c r="C29" s="34">
        <f>ICA_conf!B26</f>
        <v>0</v>
      </c>
      <c r="D29" s="34">
        <f>ICA_conf!C26</f>
        <v>0</v>
      </c>
      <c r="E29" s="34">
        <f>ICA_conf!D26</f>
        <v>1.9904953845388273E-2</v>
      </c>
      <c r="F29" s="34">
        <f>ICA_conf!E26</f>
        <v>0</v>
      </c>
      <c r="G29" s="34">
        <f>ICA_conf!F26</f>
        <v>0</v>
      </c>
      <c r="H29" s="34">
        <f>ICA_conf!G26</f>
        <v>2.0335536349771224E-2</v>
      </c>
      <c r="I29" s="34">
        <f>ICA_conf!H26</f>
        <v>0</v>
      </c>
      <c r="J29" s="34">
        <f>ICA_conf!I26</f>
        <v>98.718730933496033</v>
      </c>
      <c r="K29" s="34">
        <f>ICA_conf!J26</f>
        <v>1.6701461377870561</v>
      </c>
      <c r="L29" s="34">
        <f>ICA_conf!K26</f>
        <v>0</v>
      </c>
      <c r="M29" s="34">
        <f>ICA_conf!L26</f>
        <v>0</v>
      </c>
      <c r="N29" s="34">
        <f>ICA_conf!M26</f>
        <v>0</v>
      </c>
      <c r="P29" s="35" t="s">
        <v>7</v>
      </c>
      <c r="Q29" s="34">
        <f>H3G_conf!B26</f>
        <v>4.289084280506112E-2</v>
      </c>
      <c r="R29" s="34">
        <f>H3G_conf!C26</f>
        <v>0</v>
      </c>
      <c r="S29" s="34">
        <f>H3G_conf!D26</f>
        <v>5.401755570560432E-2</v>
      </c>
      <c r="T29" s="34">
        <f>H3G_conf!E26</f>
        <v>0</v>
      </c>
      <c r="U29" s="34">
        <f>H3G_conf!F26</f>
        <v>0</v>
      </c>
      <c r="V29" s="34">
        <f>H3G_conf!G26</f>
        <v>8.178286648947046E-2</v>
      </c>
      <c r="W29" s="34">
        <f>H3G_conf!H26</f>
        <v>0</v>
      </c>
      <c r="X29" s="34">
        <f>H3G_conf!I26</f>
        <v>99.242307097572294</v>
      </c>
      <c r="Y29" s="34">
        <f>H3G_conf!J26</f>
        <v>7.9710144927536222</v>
      </c>
      <c r="Z29" s="34">
        <f>H3G_conf!K26</f>
        <v>0</v>
      </c>
      <c r="AA29" s="34">
        <f>H3G_conf!L26</f>
        <v>0</v>
      </c>
      <c r="AB29" s="34">
        <f>H3G_conf!M26</f>
        <v>0</v>
      </c>
      <c r="AD29" s="40" t="s">
        <v>7</v>
      </c>
      <c r="AE29" s="41">
        <f>Olawale_conf!B9*'scoring matrix'!C11-H3G_conf!B9*'scoring matrix'!C11</f>
        <v>-24</v>
      </c>
      <c r="AF29" s="41">
        <f>Olawale_conf!C9*'scoring matrix'!D11-H3G_conf!C9*'scoring matrix'!D11</f>
        <v>0</v>
      </c>
      <c r="AG29" s="41">
        <f>Olawale_conf!D9*'scoring matrix'!E11-H3G_conf!D9*'scoring matrix'!E11</f>
        <v>-92</v>
      </c>
      <c r="AH29" s="41">
        <f>Olawale_conf!E9*'scoring matrix'!F11-H3G_conf!E9*'scoring matrix'!F11</f>
        <v>0</v>
      </c>
      <c r="AI29" s="41">
        <f>Olawale_conf!F9*'scoring matrix'!G11-H3G_conf!F9*'scoring matrix'!G11</f>
        <v>18.75</v>
      </c>
      <c r="AJ29" s="41">
        <f>Olawale_conf!G9*'scoring matrix'!H11-H3G_conf!G9*'scoring matrix'!H11</f>
        <v>-4</v>
      </c>
      <c r="AK29" s="41">
        <f>Olawale_conf!H9*'scoring matrix'!I11-H3G_conf!H9*'scoring matrix'!I11</f>
        <v>0</v>
      </c>
      <c r="AL29" s="41">
        <f>Olawale_conf!I9*'scoring matrix'!J11-H3G_conf!I9*'scoring matrix'!J11</f>
        <v>0</v>
      </c>
      <c r="AM29" s="41">
        <f>Olawale_conf!J9*'scoring matrix'!K11-H3G_conf!J9*'scoring matrix'!K11</f>
        <v>-44</v>
      </c>
      <c r="AN29" s="41">
        <f>Olawale_conf!K9*'scoring matrix'!L11-H3G_conf!K9*'scoring matrix'!L11</f>
        <v>0</v>
      </c>
      <c r="AO29" s="41">
        <f>Olawale_conf!L9*'scoring matrix'!M11-H3G_conf!L9*'scoring matrix'!M11</f>
        <v>0</v>
      </c>
      <c r="AP29" s="41">
        <f>Olawale_conf!M9*'scoring matrix'!N11-H3G_conf!M9*'scoring matrix'!N11</f>
        <v>0</v>
      </c>
    </row>
    <row r="30" spans="2:42" x14ac:dyDescent="0.25">
      <c r="B30" s="3" t="s">
        <v>12</v>
      </c>
      <c r="C30" s="34">
        <f>ICA_conf!B27</f>
        <v>9.1788462896279038E-2</v>
      </c>
      <c r="D30" s="34">
        <f>ICA_conf!C27</f>
        <v>0</v>
      </c>
      <c r="E30" s="34">
        <f>ICA_conf!D27</f>
        <v>2.9857430768082407E-2</v>
      </c>
      <c r="F30" s="34">
        <f>ICA_conf!E27</f>
        <v>0</v>
      </c>
      <c r="G30" s="34">
        <f>ICA_conf!F27</f>
        <v>0</v>
      </c>
      <c r="H30" s="34">
        <f>ICA_conf!G27</f>
        <v>1.3523131672597866</v>
      </c>
      <c r="I30" s="34">
        <f>ICA_conf!H27</f>
        <v>0</v>
      </c>
      <c r="J30" s="34">
        <f>ICA_conf!I27</f>
        <v>1.006711409395973</v>
      </c>
      <c r="K30" s="34">
        <f>ICA_conf!J27</f>
        <v>75.365344467640909</v>
      </c>
      <c r="L30" s="34">
        <f>ICA_conf!K27</f>
        <v>0</v>
      </c>
      <c r="M30" s="34">
        <f>ICA_conf!L27</f>
        <v>0</v>
      </c>
      <c r="N30" s="34">
        <f>ICA_conf!M27</f>
        <v>0</v>
      </c>
      <c r="P30" s="35" t="s">
        <v>12</v>
      </c>
      <c r="Q30" s="34">
        <f>H3G_conf!B27</f>
        <v>0.13582100221602689</v>
      </c>
      <c r="R30" s="34">
        <f>H3G_conf!C27</f>
        <v>0</v>
      </c>
      <c r="S30" s="34">
        <f>H3G_conf!D27</f>
        <v>2.4553434411638327E-2</v>
      </c>
      <c r="T30" s="34">
        <f>H3G_conf!E27</f>
        <v>4.2992261392949267E-2</v>
      </c>
      <c r="U30" s="34">
        <f>H3G_conf!F27</f>
        <v>20</v>
      </c>
      <c r="V30" s="34">
        <f>H3G_conf!G27</f>
        <v>2.8010631772643633</v>
      </c>
      <c r="W30" s="34">
        <f>H3G_conf!H27</f>
        <v>0</v>
      </c>
      <c r="X30" s="34">
        <f>H3G_conf!I27</f>
        <v>0.72676666151229319</v>
      </c>
      <c r="Y30" s="34">
        <f>H3G_conf!J27</f>
        <v>84.782608695652172</v>
      </c>
      <c r="Z30" s="34">
        <f>H3G_conf!K27</f>
        <v>0</v>
      </c>
      <c r="AA30" s="34">
        <f>H3G_conf!L27</f>
        <v>0</v>
      </c>
      <c r="AB30" s="34">
        <f>H3G_conf!M27</f>
        <v>0</v>
      </c>
      <c r="AD30" s="40" t="s">
        <v>12</v>
      </c>
      <c r="AE30" s="41">
        <f>Olawale_conf!B10*'scoring matrix'!C12-H3G_conf!B10*'scoring matrix'!C12</f>
        <v>-4</v>
      </c>
      <c r="AF30" s="41">
        <f>Olawale_conf!C10*'scoring matrix'!D12-H3G_conf!C10*'scoring matrix'!D12</f>
        <v>0</v>
      </c>
      <c r="AG30" s="41">
        <f>Olawale_conf!D10*'scoring matrix'!E12-H3G_conf!D10*'scoring matrix'!E12</f>
        <v>-52</v>
      </c>
      <c r="AH30" s="41">
        <f>Olawale_conf!E10*'scoring matrix'!F12-H3G_conf!E10*'scoring matrix'!F12</f>
        <v>-8</v>
      </c>
      <c r="AI30" s="41">
        <f>Olawale_conf!F10*'scoring matrix'!G12-H3G_conf!F10*'scoring matrix'!G12</f>
        <v>29.25</v>
      </c>
      <c r="AJ30" s="41">
        <f>Olawale_conf!G10*'scoring matrix'!H12-H3G_conf!G10*'scoring matrix'!H12</f>
        <v>-892.5</v>
      </c>
      <c r="AK30" s="41">
        <f>Olawale_conf!H10*'scoring matrix'!I12-H3G_conf!H10*'scoring matrix'!I12</f>
        <v>0</v>
      </c>
      <c r="AL30" s="41">
        <f>Olawale_conf!I10*'scoring matrix'!J12-H3G_conf!I10*'scoring matrix'!J12</f>
        <v>33</v>
      </c>
      <c r="AM30" s="41">
        <f>Olawale_conf!J10*'scoring matrix'!K12-H3G_conf!J10*'scoring matrix'!K12</f>
        <v>0</v>
      </c>
      <c r="AN30" s="41">
        <f>Olawale_conf!K10*'scoring matrix'!L12-H3G_conf!K10*'scoring matrix'!L12</f>
        <v>0</v>
      </c>
      <c r="AO30" s="41">
        <f>Olawale_conf!L10*'scoring matrix'!M12-H3G_conf!L10*'scoring matrix'!M12</f>
        <v>0</v>
      </c>
      <c r="AP30" s="41">
        <f>Olawale_conf!M10*'scoring matrix'!N12-H3G_conf!M10*'scoring matrix'!N12</f>
        <v>0</v>
      </c>
    </row>
    <row r="31" spans="2:42" x14ac:dyDescent="0.25">
      <c r="B31" s="3" t="s">
        <v>8</v>
      </c>
      <c r="C31" s="34">
        <f>ICA_conf!B28</f>
        <v>0</v>
      </c>
      <c r="D31" s="34">
        <f>ICA_conf!C28</f>
        <v>0</v>
      </c>
      <c r="E31" s="34">
        <f>ICA_conf!D28</f>
        <v>0.19034112114652532</v>
      </c>
      <c r="F31" s="34">
        <f>ICA_conf!E28</f>
        <v>0</v>
      </c>
      <c r="G31" s="34">
        <f>ICA_conf!F28</f>
        <v>0</v>
      </c>
      <c r="H31" s="34">
        <f>ICA_conf!G28</f>
        <v>0.20335536349771224</v>
      </c>
      <c r="I31" s="34">
        <f>ICA_conf!H28</f>
        <v>0</v>
      </c>
      <c r="J31" s="34">
        <f>ICA_conf!I28</f>
        <v>0</v>
      </c>
      <c r="K31" s="34">
        <f>ICA_conf!J28</f>
        <v>0</v>
      </c>
      <c r="L31" s="34">
        <f>ICA_conf!K28</f>
        <v>61.244019138755981</v>
      </c>
      <c r="M31" s="34">
        <f>ICA_conf!L28</f>
        <v>0</v>
      </c>
      <c r="N31" s="34">
        <f>ICA_conf!M28</f>
        <v>0</v>
      </c>
      <c r="P31" s="35" t="s">
        <v>8</v>
      </c>
      <c r="Q31" s="34">
        <f>H3G_conf!B28</f>
        <v>0</v>
      </c>
      <c r="R31" s="34">
        <f>H3G_conf!C28</f>
        <v>0.27481964960494676</v>
      </c>
      <c r="S31" s="34">
        <f>H3G_conf!D28</f>
        <v>0.29709655638082377</v>
      </c>
      <c r="T31" s="34">
        <f>H3G_conf!E28</f>
        <v>0</v>
      </c>
      <c r="U31" s="34">
        <f>H3G_conf!F28</f>
        <v>0</v>
      </c>
      <c r="V31" s="34">
        <f>H3G_conf!G28</f>
        <v>0.27601717440196283</v>
      </c>
      <c r="W31" s="34">
        <f>H3G_conf!H28</f>
        <v>0</v>
      </c>
      <c r="X31" s="34">
        <f>H3G_conf!I28</f>
        <v>0</v>
      </c>
      <c r="Y31" s="34">
        <f>H3G_conf!J28</f>
        <v>0</v>
      </c>
      <c r="Z31" s="34">
        <f>H3G_conf!K28</f>
        <v>64.970645792563602</v>
      </c>
      <c r="AA31" s="34">
        <f>H3G_conf!L28</f>
        <v>0</v>
      </c>
      <c r="AB31" s="34">
        <f>H3G_conf!M28</f>
        <v>0</v>
      </c>
      <c r="AD31" s="40" t="s">
        <v>8</v>
      </c>
      <c r="AE31" s="41">
        <f>Olawale_conf!B11*'scoring matrix'!C13-H3G_conf!B11*'scoring matrix'!C13</f>
        <v>2.5</v>
      </c>
      <c r="AF31" s="41">
        <f>Olawale_conf!C11*'scoring matrix'!D13-H3G_conf!C11*'scoring matrix'!D13</f>
        <v>-24</v>
      </c>
      <c r="AG31" s="41">
        <f>Olawale_conf!D11*'scoring matrix'!E13-H3G_conf!D11*'scoring matrix'!E13</f>
        <v>-60.5</v>
      </c>
      <c r="AH31" s="41">
        <f>Olawale_conf!E11*'scoring matrix'!F13-H3G_conf!E11*'scoring matrix'!F13</f>
        <v>0</v>
      </c>
      <c r="AI31" s="41">
        <f>Olawale_conf!F11*'scoring matrix'!G13-H3G_conf!F11*'scoring matrix'!G13</f>
        <v>0</v>
      </c>
      <c r="AJ31" s="41">
        <f>Olawale_conf!G11*'scoring matrix'!H13-H3G_conf!G11*'scoring matrix'!H13</f>
        <v>-63</v>
      </c>
      <c r="AK31" s="41">
        <f>Olawale_conf!H11*'scoring matrix'!I13-H3G_conf!H11*'scoring matrix'!I13</f>
        <v>0</v>
      </c>
      <c r="AL31" s="41">
        <f>Olawale_conf!I11*'scoring matrix'!J13-H3G_conf!I11*'scoring matrix'!J13</f>
        <v>0</v>
      </c>
      <c r="AM31" s="41">
        <f>Olawale_conf!J11*'scoring matrix'!K13-H3G_conf!J11*'scoring matrix'!K13</f>
        <v>0</v>
      </c>
      <c r="AN31" s="41">
        <f>Olawale_conf!K11*'scoring matrix'!L13-H3G_conf!K11*'scoring matrix'!L13</f>
        <v>0</v>
      </c>
      <c r="AO31" s="41">
        <f>Olawale_conf!L11*'scoring matrix'!M13-H3G_conf!L11*'scoring matrix'!M13</f>
        <v>0</v>
      </c>
      <c r="AP31" s="41">
        <f>Olawale_conf!M11*'scoring matrix'!N13-H3G_conf!M11*'scoring matrix'!N13</f>
        <v>0</v>
      </c>
    </row>
    <row r="32" spans="2:42" x14ac:dyDescent="0.25">
      <c r="B32" s="3" t="s">
        <v>9</v>
      </c>
      <c r="C32" s="34">
        <f>ICA_conf!B29</f>
        <v>9.8849113888300505E-2</v>
      </c>
      <c r="D32" s="34">
        <f>ICA_conf!C29</f>
        <v>7.3032682125251061E-2</v>
      </c>
      <c r="E32" s="34">
        <f>ICA_conf!D29</f>
        <v>4.3542086536786838E-2</v>
      </c>
      <c r="F32" s="34">
        <f>ICA_conf!E29</f>
        <v>0</v>
      </c>
      <c r="G32" s="34">
        <f>ICA_conf!F29</f>
        <v>0</v>
      </c>
      <c r="H32" s="34">
        <f>ICA_conf!G29</f>
        <v>0</v>
      </c>
      <c r="I32" s="34">
        <f>ICA_conf!H29</f>
        <v>0</v>
      </c>
      <c r="J32" s="34">
        <f>ICA_conf!I29</f>
        <v>0</v>
      </c>
      <c r="K32" s="34">
        <f>ICA_conf!J29</f>
        <v>0</v>
      </c>
      <c r="L32" s="34">
        <f>ICA_conf!K29</f>
        <v>0</v>
      </c>
      <c r="M32" s="34">
        <f>ICA_conf!L29</f>
        <v>70.740740740740733</v>
      </c>
      <c r="N32" s="34">
        <f>ICA_conf!M29</f>
        <v>0</v>
      </c>
      <c r="P32" s="35" t="s">
        <v>9</v>
      </c>
      <c r="Q32" s="34">
        <f>H3G_conf!B29</f>
        <v>0.30023589963542785</v>
      </c>
      <c r="R32" s="34">
        <f>H3G_conf!C29</f>
        <v>3.4352456200618345E-2</v>
      </c>
      <c r="S32" s="34">
        <f>H3G_conf!D29</f>
        <v>6.138358602909582E-2</v>
      </c>
      <c r="T32" s="34">
        <f>H3G_conf!E29</f>
        <v>0</v>
      </c>
      <c r="U32" s="34">
        <f>H3G_conf!F29</f>
        <v>0</v>
      </c>
      <c r="V32" s="34">
        <f>H3G_conf!G29</f>
        <v>0</v>
      </c>
      <c r="W32" s="34">
        <f>H3G_conf!H29</f>
        <v>0</v>
      </c>
      <c r="X32" s="34">
        <f>H3G_conf!I29</f>
        <v>0</v>
      </c>
      <c r="Y32" s="34">
        <f>H3G_conf!J29</f>
        <v>0</v>
      </c>
      <c r="Z32" s="34">
        <f>H3G_conf!K29</f>
        <v>0</v>
      </c>
      <c r="AA32" s="34">
        <f>H3G_conf!L29</f>
        <v>78.238341968911911</v>
      </c>
      <c r="AB32" s="34">
        <f>H3G_conf!M29</f>
        <v>0</v>
      </c>
      <c r="AD32" s="40" t="s">
        <v>9</v>
      </c>
      <c r="AE32" s="41">
        <f>Olawale_conf!B12*'scoring matrix'!C14-H3G_conf!B12*'scoring matrix'!C14</f>
        <v>-42.625</v>
      </c>
      <c r="AF32" s="41">
        <f>Olawale_conf!C12*'scoring matrix'!D14-H3G_conf!C12*'scoring matrix'!D14</f>
        <v>67.5</v>
      </c>
      <c r="AG32" s="41">
        <f>Olawale_conf!D12*'scoring matrix'!E14-H3G_conf!D12*'scoring matrix'!E14</f>
        <v>6.5</v>
      </c>
      <c r="AH32" s="41">
        <f>Olawale_conf!E12*'scoring matrix'!F14-H3G_conf!E12*'scoring matrix'!F14</f>
        <v>0</v>
      </c>
      <c r="AI32" s="41">
        <f>Olawale_conf!F12*'scoring matrix'!G14-H3G_conf!F12*'scoring matrix'!G14</f>
        <v>0</v>
      </c>
      <c r="AJ32" s="41">
        <f>Olawale_conf!G12*'scoring matrix'!H14-H3G_conf!G12*'scoring matrix'!H14</f>
        <v>8</v>
      </c>
      <c r="AK32" s="41">
        <f>Olawale_conf!H12*'scoring matrix'!I14-H3G_conf!H12*'scoring matrix'!I14</f>
        <v>0</v>
      </c>
      <c r="AL32" s="41">
        <f>Olawale_conf!I12*'scoring matrix'!J14-H3G_conf!I12*'scoring matrix'!J14</f>
        <v>0</v>
      </c>
      <c r="AM32" s="41">
        <f>Olawale_conf!J12*'scoring matrix'!K14-H3G_conf!J12*'scoring matrix'!K14</f>
        <v>0</v>
      </c>
      <c r="AN32" s="41">
        <f>Olawale_conf!K12*'scoring matrix'!L14-H3G_conf!K12*'scoring matrix'!L14</f>
        <v>0</v>
      </c>
      <c r="AO32" s="41">
        <f>Olawale_conf!L12*'scoring matrix'!M14-H3G_conf!L12*'scoring matrix'!M14</f>
        <v>0</v>
      </c>
      <c r="AP32" s="41">
        <f>Olawale_conf!M12*'scoring matrix'!N14-H3G_conf!M12*'scoring matrix'!N14</f>
        <v>0</v>
      </c>
    </row>
    <row r="33" spans="2:42" x14ac:dyDescent="0.25">
      <c r="B33" s="3" t="s">
        <v>10</v>
      </c>
      <c r="C33" s="34">
        <f>ICA_conf!B30</f>
        <v>0</v>
      </c>
      <c r="D33" s="34">
        <f>ICA_conf!C30</f>
        <v>0</v>
      </c>
      <c r="E33" s="34">
        <f>ICA_conf!D30</f>
        <v>0</v>
      </c>
      <c r="F33" s="34">
        <f>ICA_conf!E30</f>
        <v>0</v>
      </c>
      <c r="G33" s="34">
        <f>ICA_conf!F30</f>
        <v>0</v>
      </c>
      <c r="H33" s="34">
        <f>ICA_conf!G30</f>
        <v>0</v>
      </c>
      <c r="I33" s="34">
        <f>ICA_conf!H30</f>
        <v>0</v>
      </c>
      <c r="J33" s="34">
        <f>ICA_conf!I30</f>
        <v>0</v>
      </c>
      <c r="K33" s="34">
        <f>ICA_conf!J30</f>
        <v>0</v>
      </c>
      <c r="L33" s="34">
        <f>ICA_conf!K30</f>
        <v>0</v>
      </c>
      <c r="M33" s="34">
        <f>ICA_conf!L30</f>
        <v>0</v>
      </c>
      <c r="N33" s="34">
        <f>ICA_conf!M30</f>
        <v>0</v>
      </c>
      <c r="P33" s="35" t="s">
        <v>10</v>
      </c>
      <c r="Q33" s="34">
        <f>H3G_conf!B30</f>
        <v>0</v>
      </c>
      <c r="R33" s="34">
        <f>H3G_conf!C30</f>
        <v>0</v>
      </c>
      <c r="S33" s="34">
        <f>H3G_conf!D30</f>
        <v>0</v>
      </c>
      <c r="T33" s="34">
        <f>H3G_conf!E30</f>
        <v>0</v>
      </c>
      <c r="U33" s="34">
        <f>H3G_conf!F30</f>
        <v>0</v>
      </c>
      <c r="V33" s="34">
        <f>H3G_conf!G30</f>
        <v>0</v>
      </c>
      <c r="W33" s="34">
        <f>H3G_conf!H30</f>
        <v>0</v>
      </c>
      <c r="X33" s="34">
        <f>H3G_conf!I30</f>
        <v>0</v>
      </c>
      <c r="Y33" s="34">
        <f>H3G_conf!J30</f>
        <v>0</v>
      </c>
      <c r="Z33" s="34">
        <f>H3G_conf!K30</f>
        <v>0</v>
      </c>
      <c r="AA33" s="34">
        <f>H3G_conf!L30</f>
        <v>0</v>
      </c>
      <c r="AB33" s="34">
        <f>H3G_conf!M30</f>
        <v>0</v>
      </c>
      <c r="AD33" s="40" t="s">
        <v>10</v>
      </c>
      <c r="AE33" s="41">
        <f>Olawale_conf!B13*'scoring matrix'!C15-H3G_conf!B13*'scoring matrix'!C15</f>
        <v>0</v>
      </c>
      <c r="AF33" s="41">
        <f>Olawale_conf!C13*'scoring matrix'!D15-H3G_conf!C13*'scoring matrix'!D15</f>
        <v>0</v>
      </c>
      <c r="AG33" s="41">
        <f>Olawale_conf!D13*'scoring matrix'!E15-H3G_conf!D13*'scoring matrix'!E15</f>
        <v>0</v>
      </c>
      <c r="AH33" s="41">
        <f>Olawale_conf!E13*'scoring matrix'!F15-H3G_conf!E13*'scoring matrix'!F15</f>
        <v>0</v>
      </c>
      <c r="AI33" s="41">
        <f>Olawale_conf!F13*'scoring matrix'!G15-H3G_conf!F13*'scoring matrix'!G15</f>
        <v>0</v>
      </c>
      <c r="AJ33" s="41">
        <f>Olawale_conf!G13*'scoring matrix'!H15-H3G_conf!G13*'scoring matrix'!H15</f>
        <v>0</v>
      </c>
      <c r="AK33" s="41">
        <f>Olawale_conf!H13*'scoring matrix'!I15-H3G_conf!H13*'scoring matrix'!I15</f>
        <v>0</v>
      </c>
      <c r="AL33" s="41">
        <f>Olawale_conf!I13*'scoring matrix'!J15-H3G_conf!I13*'scoring matrix'!J15</f>
        <v>0</v>
      </c>
      <c r="AM33" s="41">
        <f>Olawale_conf!J13*'scoring matrix'!K15-H3G_conf!J13*'scoring matrix'!K15</f>
        <v>0</v>
      </c>
      <c r="AN33" s="41">
        <f>Olawale_conf!K13*'scoring matrix'!L15-H3G_conf!K13*'scoring matrix'!L15</f>
        <v>0</v>
      </c>
      <c r="AO33" s="41">
        <f>Olawale_conf!L13*'scoring matrix'!M15-H3G_conf!L13*'scoring matrix'!M15</f>
        <v>0</v>
      </c>
      <c r="AP33" s="41">
        <f>Olawale_conf!M13*'scoring matrix'!N15-H3G_conf!M13*'scoring matrix'!N15</f>
        <v>0</v>
      </c>
    </row>
    <row r="35" spans="2:42" ht="127.5" x14ac:dyDescent="0.45">
      <c r="B35" s="9" t="s">
        <v>30</v>
      </c>
      <c r="C35" s="32" t="s">
        <v>13</v>
      </c>
      <c r="D35" s="32" t="s">
        <v>14</v>
      </c>
      <c r="E35" s="32" t="s">
        <v>15</v>
      </c>
      <c r="F35" s="32" t="s">
        <v>16</v>
      </c>
      <c r="G35" s="32" t="s">
        <v>17</v>
      </c>
      <c r="H35" s="32" t="s">
        <v>18</v>
      </c>
      <c r="I35" s="32" t="s">
        <v>19</v>
      </c>
      <c r="J35" s="32" t="s">
        <v>20</v>
      </c>
      <c r="K35" s="32" t="s">
        <v>21</v>
      </c>
      <c r="L35" s="32" t="s">
        <v>22</v>
      </c>
      <c r="M35" s="32" t="s">
        <v>23</v>
      </c>
      <c r="N35" s="32" t="s">
        <v>24</v>
      </c>
    </row>
    <row r="36" spans="2:42" x14ac:dyDescent="0.25">
      <c r="B36" s="3" t="s">
        <v>1</v>
      </c>
      <c r="C36" s="34">
        <f>ISPL_conf!B19</f>
        <v>67.792635781735228</v>
      </c>
      <c r="D36" s="34">
        <f>ISPL_conf!C19</f>
        <v>30.673382820784727</v>
      </c>
      <c r="E36" s="34">
        <f>ISPL_conf!D19</f>
        <v>0.94000262570565829</v>
      </c>
      <c r="F36" s="34">
        <f>ISPL_conf!E19</f>
        <v>4.6087617118257791</v>
      </c>
      <c r="G36" s="34">
        <f>ISPL_conf!F19</f>
        <v>0</v>
      </c>
      <c r="H36" s="34">
        <f>ISPL_conf!G19</f>
        <v>1.527403414195867</v>
      </c>
      <c r="I36" s="34">
        <f>ISPL_conf!H19</f>
        <v>0</v>
      </c>
      <c r="J36" s="34">
        <f>ISPL_conf!I19</f>
        <v>0</v>
      </c>
      <c r="K36" s="34">
        <f>ISPL_conf!J19</f>
        <v>0</v>
      </c>
      <c r="L36" s="34">
        <f>ISPL_conf!K19</f>
        <v>0</v>
      </c>
      <c r="M36" s="34">
        <f>ISPL_conf!L19</f>
        <v>0</v>
      </c>
      <c r="N36" s="34">
        <f>ISPL_conf!M19</f>
        <v>0</v>
      </c>
    </row>
    <row r="37" spans="2:42" x14ac:dyDescent="0.25">
      <c r="B37" s="4" t="s">
        <v>2</v>
      </c>
      <c r="C37" s="34">
        <f>ISPL_conf!B20</f>
        <v>18.505608720451232</v>
      </c>
      <c r="D37" s="34">
        <f>ISPL_conf!C20</f>
        <v>47.150053022269347</v>
      </c>
      <c r="E37" s="34">
        <f>ISPL_conf!D20</f>
        <v>7.0789024550347914</v>
      </c>
      <c r="F37" s="34">
        <f>ISPL_conf!E20</f>
        <v>7.8247657634844261</v>
      </c>
      <c r="G37" s="34">
        <f>ISPL_conf!F20</f>
        <v>0</v>
      </c>
      <c r="H37" s="34">
        <f>ISPL_conf!G20</f>
        <v>0.66262353998203061</v>
      </c>
      <c r="I37" s="34">
        <f>ISPL_conf!H20</f>
        <v>0</v>
      </c>
      <c r="J37" s="34">
        <f>ISPL_conf!I20</f>
        <v>0</v>
      </c>
      <c r="K37" s="34">
        <f>ISPL_conf!J20</f>
        <v>0</v>
      </c>
      <c r="L37" s="34">
        <f>ISPL_conf!K20</f>
        <v>2.4911032028469751</v>
      </c>
      <c r="M37" s="34">
        <f>ISPL_conf!L20</f>
        <v>10.121457489878543</v>
      </c>
      <c r="N37" s="34">
        <f>ISPL_conf!M20</f>
        <v>0</v>
      </c>
    </row>
    <row r="38" spans="2:42" x14ac:dyDescent="0.25">
      <c r="B38" s="3" t="s">
        <v>3</v>
      </c>
      <c r="C38" s="34">
        <f>ISPL_conf!B21</f>
        <v>7.6430699030356806</v>
      </c>
      <c r="D38" s="34">
        <f>ISPL_conf!C21</f>
        <v>17.948038176033933</v>
      </c>
      <c r="E38" s="34">
        <f>ISPL_conf!D21</f>
        <v>87.819351450702371</v>
      </c>
      <c r="F38" s="34">
        <f>ISPL_conf!E21</f>
        <v>43.302101797923527</v>
      </c>
      <c r="G38" s="34">
        <f>ISPL_conf!F21</f>
        <v>4.4897959183673466</v>
      </c>
      <c r="H38" s="34">
        <f>ISPL_conf!G21</f>
        <v>3.5377358490566038</v>
      </c>
      <c r="I38" s="34">
        <f>ISPL_conf!H21</f>
        <v>0</v>
      </c>
      <c r="J38" s="34">
        <f>ISPL_conf!I21</f>
        <v>0.16804155209288116</v>
      </c>
      <c r="K38" s="34">
        <f>ISPL_conf!J21</f>
        <v>2.083333333333333</v>
      </c>
      <c r="L38" s="34">
        <f>ISPL_conf!K21</f>
        <v>34.163701067615662</v>
      </c>
      <c r="M38" s="34">
        <f>ISPL_conf!L21</f>
        <v>13.360323886639677</v>
      </c>
      <c r="N38" s="34">
        <f>ISPL_conf!M21</f>
        <v>0</v>
      </c>
    </row>
    <row r="39" spans="2:42" x14ac:dyDescent="0.25">
      <c r="B39" s="3" t="s">
        <v>11</v>
      </c>
      <c r="C39" s="34">
        <f>ISPL_conf!B22</f>
        <v>0.17745104252487484</v>
      </c>
      <c r="D39" s="34">
        <f>ISPL_conf!C22</f>
        <v>2.4655355249204667</v>
      </c>
      <c r="E39" s="34">
        <f>ISPL_conf!D22</f>
        <v>2.5141131679138771</v>
      </c>
      <c r="F39" s="34">
        <f>ISPL_conf!E22</f>
        <v>24.537857685489996</v>
      </c>
      <c r="G39" s="34">
        <f>ISPL_conf!F22</f>
        <v>2.8571428571428572</v>
      </c>
      <c r="H39" s="34">
        <f>ISPL_conf!G22</f>
        <v>14.049865229110511</v>
      </c>
      <c r="I39" s="34">
        <f>ISPL_conf!H22</f>
        <v>2.1810250817884405</v>
      </c>
      <c r="J39" s="34">
        <f>ISPL_conf!I22</f>
        <v>0</v>
      </c>
      <c r="K39" s="34">
        <f>ISPL_conf!J22</f>
        <v>0</v>
      </c>
      <c r="L39" s="34">
        <f>ISPL_conf!K22</f>
        <v>0</v>
      </c>
      <c r="M39" s="34">
        <f>ISPL_conf!L22</f>
        <v>0</v>
      </c>
      <c r="N39" s="34">
        <f>ISPL_conf!M22</f>
        <v>0</v>
      </c>
    </row>
    <row r="40" spans="2:42" x14ac:dyDescent="0.25">
      <c r="B40" s="3" t="s">
        <v>4</v>
      </c>
      <c r="C40" s="34">
        <f>ISPL_conf!B23</f>
        <v>6.3375372330312443E-2</v>
      </c>
      <c r="D40" s="34">
        <f>ISPL_conf!C23</f>
        <v>0.17232237539766701</v>
      </c>
      <c r="E40" s="34">
        <f>ISPL_conf!D23</f>
        <v>0.27307338847315216</v>
      </c>
      <c r="F40" s="34">
        <f>ISPL_conf!E23</f>
        <v>2.5322866548493288E-2</v>
      </c>
      <c r="G40" s="34">
        <f>ISPL_conf!F23</f>
        <v>0</v>
      </c>
      <c r="H40" s="34">
        <f>ISPL_conf!G23</f>
        <v>0.30323450134770891</v>
      </c>
      <c r="I40" s="34">
        <f>ISPL_conf!H23</f>
        <v>0</v>
      </c>
      <c r="J40" s="34">
        <f>ISPL_conf!I23</f>
        <v>3.0553009471432937E-2</v>
      </c>
      <c r="K40" s="34">
        <f>ISPL_conf!J23</f>
        <v>7.7380952380952381</v>
      </c>
      <c r="L40" s="34">
        <f>ISPL_conf!K23</f>
        <v>0</v>
      </c>
      <c r="M40" s="34">
        <f>ISPL_conf!L23</f>
        <v>0</v>
      </c>
      <c r="N40" s="34">
        <f>ISPL_conf!M23</f>
        <v>0</v>
      </c>
    </row>
    <row r="41" spans="2:42" x14ac:dyDescent="0.25">
      <c r="B41" s="3" t="s">
        <v>5</v>
      </c>
      <c r="C41" s="34">
        <f>ISPL_conf!B24</f>
        <v>4.7785030737055578</v>
      </c>
      <c r="D41" s="34">
        <f>ISPL_conf!C24</f>
        <v>1.166489925768823</v>
      </c>
      <c r="E41" s="34">
        <f>ISPL_conf!D24</f>
        <v>0.93606406721806479</v>
      </c>
      <c r="F41" s="34">
        <f>ISPL_conf!E24</f>
        <v>17.270194986072422</v>
      </c>
      <c r="G41" s="34">
        <f>ISPL_conf!F24</f>
        <v>55.91836734693878</v>
      </c>
      <c r="H41" s="34">
        <f>ISPL_conf!G24</f>
        <v>60.01796945193172</v>
      </c>
      <c r="I41" s="34">
        <f>ISPL_conf!H24</f>
        <v>34.896401308615047</v>
      </c>
      <c r="J41" s="34">
        <f>ISPL_conf!I24</f>
        <v>0</v>
      </c>
      <c r="K41" s="34">
        <f>ISPL_conf!J24</f>
        <v>0</v>
      </c>
      <c r="L41" s="34">
        <f>ISPL_conf!K24</f>
        <v>1.8979833926453145</v>
      </c>
      <c r="M41" s="34">
        <f>ISPL_conf!L24</f>
        <v>0</v>
      </c>
      <c r="N41" s="34">
        <f>ISPL_conf!M24</f>
        <v>0</v>
      </c>
    </row>
    <row r="42" spans="2:42" x14ac:dyDescent="0.25">
      <c r="B42" s="3" t="s">
        <v>6</v>
      </c>
      <c r="C42" s="34">
        <f>ISPL_conf!B25</f>
        <v>3.1687686165156222E-2</v>
      </c>
      <c r="D42" s="34">
        <f>ISPL_conf!C25</f>
        <v>0</v>
      </c>
      <c r="E42" s="34">
        <f>ISPL_conf!D25</f>
        <v>0</v>
      </c>
      <c r="F42" s="34">
        <f>ISPL_conf!E25</f>
        <v>2.430995188655356</v>
      </c>
      <c r="G42" s="34">
        <f>ISPL_conf!F25</f>
        <v>0</v>
      </c>
      <c r="H42" s="34">
        <f>ISPL_conf!G25</f>
        <v>18.530997304582211</v>
      </c>
      <c r="I42" s="34">
        <f>ISPL_conf!H25</f>
        <v>62.922573609596512</v>
      </c>
      <c r="J42" s="34">
        <f>ISPL_conf!I25</f>
        <v>0</v>
      </c>
      <c r="K42" s="34">
        <f>ISPL_conf!J25</f>
        <v>0</v>
      </c>
      <c r="L42" s="34">
        <f>ISPL_conf!K25</f>
        <v>0</v>
      </c>
      <c r="M42" s="34">
        <f>ISPL_conf!L25</f>
        <v>0</v>
      </c>
      <c r="N42" s="34">
        <f>ISPL_conf!M25</f>
        <v>0</v>
      </c>
    </row>
    <row r="43" spans="2:42" x14ac:dyDescent="0.25">
      <c r="B43" s="3" t="s">
        <v>7</v>
      </c>
      <c r="C43" s="34">
        <f>ISPL_conf!B26</f>
        <v>0.18378857975790608</v>
      </c>
      <c r="D43" s="34">
        <f>ISPL_conf!C26</f>
        <v>9.2788971367974551E-2</v>
      </c>
      <c r="E43" s="34">
        <f>ISPL_conf!D26</f>
        <v>1.4441381121176315E-2</v>
      </c>
      <c r="F43" s="34">
        <f>ISPL_conf!E26</f>
        <v>0</v>
      </c>
      <c r="G43" s="34">
        <f>ISPL_conf!F26</f>
        <v>0</v>
      </c>
      <c r="H43" s="34">
        <f>ISPL_conf!G26</f>
        <v>1.1230907457322553E-2</v>
      </c>
      <c r="I43" s="34">
        <f>ISPL_conf!H26</f>
        <v>0</v>
      </c>
      <c r="J43" s="34">
        <f>ISPL_conf!I26</f>
        <v>98.411243507485494</v>
      </c>
      <c r="K43" s="34">
        <f>ISPL_conf!J26</f>
        <v>2.3809523809523809</v>
      </c>
      <c r="L43" s="34">
        <f>ISPL_conf!K26</f>
        <v>0</v>
      </c>
      <c r="M43" s="34">
        <f>ISPL_conf!L26</f>
        <v>0</v>
      </c>
      <c r="N43" s="34">
        <f>ISPL_conf!M26</f>
        <v>0</v>
      </c>
    </row>
    <row r="44" spans="2:42" x14ac:dyDescent="0.25">
      <c r="B44" s="3" t="s">
        <v>12</v>
      </c>
      <c r="C44" s="34">
        <f>ISPL_conf!B27</f>
        <v>0.1457633563597186</v>
      </c>
      <c r="D44" s="34">
        <f>ISPL_conf!C27</f>
        <v>0</v>
      </c>
      <c r="E44" s="34">
        <f>ISPL_conf!D27</f>
        <v>1.0502822633582775E-2</v>
      </c>
      <c r="F44" s="34">
        <f>ISPL_conf!E27</f>
        <v>0</v>
      </c>
      <c r="G44" s="34">
        <f>ISPL_conf!F27</f>
        <v>36.734693877551024</v>
      </c>
      <c r="H44" s="34">
        <f>ISPL_conf!G27</f>
        <v>1.0107816711590296</v>
      </c>
      <c r="I44" s="34">
        <f>ISPL_conf!H27</f>
        <v>0</v>
      </c>
      <c r="J44" s="34">
        <f>ISPL_conf!I27</f>
        <v>1.3901619309501985</v>
      </c>
      <c r="K44" s="34">
        <f>ISPL_conf!J27</f>
        <v>87.797619047619051</v>
      </c>
      <c r="L44" s="34">
        <f>ISPL_conf!K27</f>
        <v>0</v>
      </c>
      <c r="M44" s="34">
        <f>ISPL_conf!L27</f>
        <v>0</v>
      </c>
      <c r="N44" s="34">
        <f>ISPL_conf!M27</f>
        <v>0</v>
      </c>
    </row>
    <row r="45" spans="2:42" x14ac:dyDescent="0.25">
      <c r="B45" s="3" t="s">
        <v>8</v>
      </c>
      <c r="C45" s="34">
        <f>ISPL_conf!B28</f>
        <v>0.57671588820584319</v>
      </c>
      <c r="D45" s="34">
        <f>ISPL_conf!C28</f>
        <v>0.21208907741251329</v>
      </c>
      <c r="E45" s="34">
        <f>ISPL_conf!D28</f>
        <v>0.37416305632138636</v>
      </c>
      <c r="F45" s="34">
        <f>ISPL_conf!E28</f>
        <v>0</v>
      </c>
      <c r="G45" s="34">
        <f>ISPL_conf!F28</f>
        <v>0</v>
      </c>
      <c r="H45" s="34">
        <f>ISPL_conf!G28</f>
        <v>0.34815813117699912</v>
      </c>
      <c r="I45" s="34">
        <f>ISPL_conf!H28</f>
        <v>0</v>
      </c>
      <c r="J45" s="34">
        <f>ISPL_conf!I28</f>
        <v>0</v>
      </c>
      <c r="K45" s="34">
        <f>ISPL_conf!J28</f>
        <v>0</v>
      </c>
      <c r="L45" s="34">
        <f>ISPL_conf!K28</f>
        <v>61.447212336892051</v>
      </c>
      <c r="M45" s="34">
        <f>ISPL_conf!L28</f>
        <v>0</v>
      </c>
      <c r="N45" s="34">
        <f>ISPL_conf!M28</f>
        <v>0</v>
      </c>
    </row>
    <row r="46" spans="2:42" x14ac:dyDescent="0.25">
      <c r="B46" s="3" t="s">
        <v>9</v>
      </c>
      <c r="C46" s="34">
        <f>ISPL_conf!B29</f>
        <v>0.1014005957284999</v>
      </c>
      <c r="D46" s="34">
        <f>ISPL_conf!C29</f>
        <v>0.11930010604453871</v>
      </c>
      <c r="E46" s="34">
        <f>ISPL_conf!D29</f>
        <v>3.9385584875935409E-2</v>
      </c>
      <c r="F46" s="34">
        <f>ISPL_conf!E29</f>
        <v>0</v>
      </c>
      <c r="G46" s="34">
        <f>ISPL_conf!F29</f>
        <v>0</v>
      </c>
      <c r="H46" s="34">
        <f>ISPL_conf!G29</f>
        <v>0</v>
      </c>
      <c r="I46" s="34">
        <f>ISPL_conf!H29</f>
        <v>0</v>
      </c>
      <c r="J46" s="34">
        <f>ISPL_conf!I29</f>
        <v>0</v>
      </c>
      <c r="K46" s="34">
        <f>ISPL_conf!J29</f>
        <v>0</v>
      </c>
      <c r="L46" s="34">
        <f>ISPL_conf!K29</f>
        <v>0</v>
      </c>
      <c r="M46" s="34">
        <f>ISPL_conf!L29</f>
        <v>76.518218623481786</v>
      </c>
      <c r="N46" s="34">
        <f>ISPL_conf!M29</f>
        <v>0</v>
      </c>
    </row>
    <row r="47" spans="2:42" x14ac:dyDescent="0.25">
      <c r="B47" s="3" t="s">
        <v>10</v>
      </c>
      <c r="C47" s="34">
        <f>ISPL_conf!B30</f>
        <v>0</v>
      </c>
      <c r="D47" s="34">
        <f>ISPL_conf!C30</f>
        <v>0</v>
      </c>
      <c r="E47" s="34">
        <f>ISPL_conf!D30</f>
        <v>0</v>
      </c>
      <c r="F47" s="34">
        <f>ISPL_conf!E30</f>
        <v>0</v>
      </c>
      <c r="G47" s="34">
        <f>ISPL_conf!F30</f>
        <v>0</v>
      </c>
      <c r="H47" s="34">
        <f>ISPL_conf!G30</f>
        <v>0</v>
      </c>
      <c r="I47" s="34">
        <f>ISPL_conf!H30</f>
        <v>0</v>
      </c>
      <c r="J47" s="34">
        <f>ISPL_conf!I30</f>
        <v>0</v>
      </c>
      <c r="K47" s="34">
        <f>ISPL_conf!J30</f>
        <v>0</v>
      </c>
      <c r="L47" s="34">
        <f>ISPL_conf!K30</f>
        <v>0</v>
      </c>
      <c r="M47" s="34">
        <f>ISPL_conf!L30</f>
        <v>0</v>
      </c>
      <c r="N47" s="34">
        <f>ISPL_conf!M30</f>
        <v>0</v>
      </c>
    </row>
    <row r="49" spans="2:14" ht="127.5" x14ac:dyDescent="0.45">
      <c r="B49" s="9" t="s">
        <v>31</v>
      </c>
      <c r="C49" s="32" t="s">
        <v>13</v>
      </c>
      <c r="D49" s="32" t="s">
        <v>14</v>
      </c>
      <c r="E49" s="32" t="s">
        <v>15</v>
      </c>
      <c r="F49" s="32" t="s">
        <v>16</v>
      </c>
      <c r="G49" s="32" t="s">
        <v>17</v>
      </c>
      <c r="H49" s="32" t="s">
        <v>18</v>
      </c>
      <c r="I49" s="32" t="s">
        <v>19</v>
      </c>
      <c r="J49" s="32" t="s">
        <v>20</v>
      </c>
      <c r="K49" s="32" t="s">
        <v>21</v>
      </c>
      <c r="L49" s="32" t="s">
        <v>22</v>
      </c>
      <c r="M49" s="32" t="s">
        <v>23</v>
      </c>
      <c r="N49" s="32" t="s">
        <v>24</v>
      </c>
    </row>
    <row r="50" spans="2:14" x14ac:dyDescent="0.25">
      <c r="B50" s="3" t="s">
        <v>1</v>
      </c>
      <c r="C50" s="34">
        <f>Bermudez_conf!B19</f>
        <v>74.784354550862588</v>
      </c>
      <c r="D50" s="34">
        <f>Bermudez_conf!C19</f>
        <v>18.068833652007648</v>
      </c>
      <c r="E50" s="34">
        <f>Bermudez_conf!D19</f>
        <v>2.7173779514016854</v>
      </c>
      <c r="F50" s="34">
        <f>Bermudez_conf!E19</f>
        <v>3.7037037037037033</v>
      </c>
      <c r="G50" s="34">
        <f>Bermudez_conf!F19</f>
        <v>0</v>
      </c>
      <c r="H50" s="34">
        <f>Bermudez_conf!G19</f>
        <v>7.2263753114816947</v>
      </c>
      <c r="I50" s="34">
        <f>Bermudez_conf!H19</f>
        <v>0</v>
      </c>
      <c r="J50" s="34">
        <f>Bermudez_conf!I19</f>
        <v>0</v>
      </c>
      <c r="K50" s="34">
        <f>Bermudez_conf!J19</f>
        <v>0</v>
      </c>
      <c r="L50" s="34">
        <f>Bermudez_conf!K19</f>
        <v>0</v>
      </c>
      <c r="M50" s="34">
        <f>Bermudez_conf!L19</f>
        <v>0.46948356807511737</v>
      </c>
      <c r="N50" s="34">
        <f>Bermudez_conf!M19</f>
        <v>0</v>
      </c>
    </row>
    <row r="51" spans="2:14" x14ac:dyDescent="0.25">
      <c r="B51" s="4" t="s">
        <v>2</v>
      </c>
      <c r="C51" s="34">
        <f>Bermudez_conf!B20</f>
        <v>13.541046995835812</v>
      </c>
      <c r="D51" s="34">
        <f>Bermudez_conf!C20</f>
        <v>58.776290630975147</v>
      </c>
      <c r="E51" s="34">
        <f>Bermudez_conf!D20</f>
        <v>8.0857964177784325</v>
      </c>
      <c r="F51" s="34">
        <f>Bermudez_conf!E20</f>
        <v>1.6081871345029239</v>
      </c>
      <c r="G51" s="34">
        <f>Bermudez_conf!F20</f>
        <v>0</v>
      </c>
      <c r="H51" s="34">
        <f>Bermudez_conf!G20</f>
        <v>6.641748131109833</v>
      </c>
      <c r="I51" s="34">
        <f>Bermudez_conf!H20</f>
        <v>0</v>
      </c>
      <c r="J51" s="34">
        <f>Bermudez_conf!I20</f>
        <v>0</v>
      </c>
      <c r="K51" s="34">
        <f>Bermudez_conf!J20</f>
        <v>0</v>
      </c>
      <c r="L51" s="34">
        <f>Bermudez_conf!K20</f>
        <v>6.0869565217391308</v>
      </c>
      <c r="M51" s="34">
        <f>Bermudez_conf!L20</f>
        <v>7.981220657276995</v>
      </c>
      <c r="N51" s="34">
        <f>Bermudez_conf!M20</f>
        <v>0</v>
      </c>
    </row>
    <row r="52" spans="2:14" x14ac:dyDescent="0.25">
      <c r="B52" s="3" t="s">
        <v>3</v>
      </c>
      <c r="C52" s="34">
        <f>Bermudez_conf!B21</f>
        <v>4.0229030339083875</v>
      </c>
      <c r="D52" s="34">
        <f>Bermudez_conf!C21</f>
        <v>12.772466539196941</v>
      </c>
      <c r="E52" s="34">
        <f>Bermudez_conf!D21</f>
        <v>85.336969607626344</v>
      </c>
      <c r="F52" s="34">
        <f>Bermudez_conf!E21</f>
        <v>26.364522417153996</v>
      </c>
      <c r="G52" s="34">
        <f>Bermudez_conf!F21</f>
        <v>14.285714285714285</v>
      </c>
      <c r="H52" s="34">
        <f>Bermudez_conf!G21</f>
        <v>3.076480736055204</v>
      </c>
      <c r="I52" s="34">
        <f>Bermudez_conf!H21</f>
        <v>0.7430340557275541</v>
      </c>
      <c r="J52" s="34">
        <f>Bermudez_conf!I21</f>
        <v>1.5365703749231713E-2</v>
      </c>
      <c r="K52" s="34">
        <f>Bermudez_conf!J21</f>
        <v>2.2075055187637971</v>
      </c>
      <c r="L52" s="34">
        <f>Bermudez_conf!K21</f>
        <v>22.995169082125607</v>
      </c>
      <c r="M52" s="34">
        <f>Bermudez_conf!L21</f>
        <v>13.145539906103288</v>
      </c>
      <c r="N52" s="34">
        <f>Bermudez_conf!M21</f>
        <v>0</v>
      </c>
    </row>
    <row r="53" spans="2:14" x14ac:dyDescent="0.25">
      <c r="B53" s="3" t="s">
        <v>11</v>
      </c>
      <c r="C53" s="34">
        <f>Bermudez_conf!B22</f>
        <v>0.35693039857227837</v>
      </c>
      <c r="D53" s="34">
        <f>Bermudez_conf!C22</f>
        <v>9.4837476099426397</v>
      </c>
      <c r="E53" s="34">
        <f>Bermudez_conf!D22</f>
        <v>1.7284587602270214</v>
      </c>
      <c r="F53" s="34">
        <f>Bermudez_conf!E22</f>
        <v>51.169590643274852</v>
      </c>
      <c r="G53" s="34">
        <f>Bermudez_conf!F22</f>
        <v>0</v>
      </c>
      <c r="H53" s="34">
        <f>Bermudez_conf!G22</f>
        <v>13.091815219474794</v>
      </c>
      <c r="I53" s="34">
        <f>Bermudez_conf!H22</f>
        <v>1.7956656346749225</v>
      </c>
      <c r="J53" s="34">
        <f>Bermudez_conf!I22</f>
        <v>0</v>
      </c>
      <c r="K53" s="34">
        <f>Bermudez_conf!J22</f>
        <v>0</v>
      </c>
      <c r="L53" s="34">
        <f>Bermudez_conf!K22</f>
        <v>0</v>
      </c>
      <c r="M53" s="34">
        <f>Bermudez_conf!L22</f>
        <v>0</v>
      </c>
      <c r="N53" s="34">
        <f>Bermudez_conf!M22</f>
        <v>0</v>
      </c>
    </row>
    <row r="54" spans="2:14" x14ac:dyDescent="0.25">
      <c r="B54" s="3" t="s">
        <v>4</v>
      </c>
      <c r="C54" s="34">
        <f>Bermudez_conf!B23</f>
        <v>7.4360499702558003E-3</v>
      </c>
      <c r="D54" s="34">
        <f>Bermudez_conf!C23</f>
        <v>0</v>
      </c>
      <c r="E54" s="34">
        <f>Bermudez_conf!D23</f>
        <v>0.22972408540330702</v>
      </c>
      <c r="F54" s="34">
        <f>Bermudez_conf!E23</f>
        <v>9.7465886939571145E-2</v>
      </c>
      <c r="G54" s="34">
        <f>Bermudez_conf!F23</f>
        <v>28.571428571428569</v>
      </c>
      <c r="H54" s="34">
        <f>Bermudez_conf!G23</f>
        <v>4.7920260686218137E-2</v>
      </c>
      <c r="I54" s="34">
        <f>Bermudez_conf!H23</f>
        <v>0</v>
      </c>
      <c r="J54" s="34">
        <f>Bermudez_conf!I23</f>
        <v>0</v>
      </c>
      <c r="K54" s="34">
        <f>Bermudez_conf!J23</f>
        <v>19.867549668874172</v>
      </c>
      <c r="L54" s="34">
        <f>Bermudez_conf!K23</f>
        <v>0</v>
      </c>
      <c r="M54" s="34">
        <f>Bermudez_conf!L23</f>
        <v>0</v>
      </c>
      <c r="N54" s="34">
        <f>Bermudez_conf!M23</f>
        <v>0</v>
      </c>
    </row>
    <row r="55" spans="2:14" x14ac:dyDescent="0.25">
      <c r="B55" s="3" t="s">
        <v>5</v>
      </c>
      <c r="C55" s="34">
        <f>Bermudez_conf!B24</f>
        <v>7.0345032718619871</v>
      </c>
      <c r="D55" s="34">
        <f>Bermudez_conf!C24</f>
        <v>0.78393881453154879</v>
      </c>
      <c r="E55" s="34">
        <f>Bermudez_conf!D24</f>
        <v>1.4753937249699025</v>
      </c>
      <c r="F55" s="34">
        <f>Bermudez_conf!E24</f>
        <v>16.910331384015596</v>
      </c>
      <c r="G55" s="34">
        <f>Bermudez_conf!F24</f>
        <v>14.285714285714285</v>
      </c>
      <c r="H55" s="34">
        <f>Bermudez_conf!G24</f>
        <v>53.459842821544946</v>
      </c>
      <c r="I55" s="34">
        <f>Bermudez_conf!H24</f>
        <v>14.36532507739938</v>
      </c>
      <c r="J55" s="34">
        <f>Bermudez_conf!I24</f>
        <v>0</v>
      </c>
      <c r="K55" s="34">
        <f>Bermudez_conf!J24</f>
        <v>0</v>
      </c>
      <c r="L55" s="34">
        <f>Bermudez_conf!K24</f>
        <v>2.7053140096618358</v>
      </c>
      <c r="M55" s="34">
        <f>Bermudez_conf!L24</f>
        <v>0</v>
      </c>
      <c r="N55" s="34">
        <f>Bermudez_conf!M24</f>
        <v>0</v>
      </c>
    </row>
    <row r="56" spans="2:14" x14ac:dyDescent="0.25">
      <c r="B56" s="3" t="s">
        <v>6</v>
      </c>
      <c r="C56" s="34">
        <f>Bermudez_conf!B25</f>
        <v>7.4360499702557994E-2</v>
      </c>
      <c r="D56" s="34">
        <f>Bermudez_conf!C25</f>
        <v>0</v>
      </c>
      <c r="E56" s="34">
        <f>Bermudez_conf!D25</f>
        <v>1.2284710449374707E-3</v>
      </c>
      <c r="F56" s="34">
        <f>Bermudez_conf!E25</f>
        <v>0.14619883040935672</v>
      </c>
      <c r="G56" s="34">
        <f>Bermudez_conf!F25</f>
        <v>0</v>
      </c>
      <c r="H56" s="34">
        <f>Bermudez_conf!G25</f>
        <v>14.845696760590377</v>
      </c>
      <c r="I56" s="34">
        <f>Bermudez_conf!H25</f>
        <v>83.095975232198143</v>
      </c>
      <c r="J56" s="34">
        <f>Bermudez_conf!I25</f>
        <v>0</v>
      </c>
      <c r="K56" s="34">
        <f>Bermudez_conf!J25</f>
        <v>0</v>
      </c>
      <c r="L56" s="34">
        <f>Bermudez_conf!K25</f>
        <v>0</v>
      </c>
      <c r="M56" s="34">
        <f>Bermudez_conf!L25</f>
        <v>0</v>
      </c>
      <c r="N56" s="34">
        <f>Bermudez_conf!M25</f>
        <v>0</v>
      </c>
    </row>
    <row r="57" spans="2:14" x14ac:dyDescent="0.25">
      <c r="B57" s="3" t="s">
        <v>7</v>
      </c>
      <c r="C57" s="34">
        <f>Bermudez_conf!B26</f>
        <v>0</v>
      </c>
      <c r="D57" s="34">
        <f>Bermudez_conf!C26</f>
        <v>0</v>
      </c>
      <c r="E57" s="34">
        <f>Bermudez_conf!D26</f>
        <v>5.5281197022186188E-2</v>
      </c>
      <c r="F57" s="34">
        <f>Bermudez_conf!E26</f>
        <v>0</v>
      </c>
      <c r="G57" s="34">
        <f>Bermudez_conf!F26</f>
        <v>0</v>
      </c>
      <c r="H57" s="34">
        <f>Bermudez_conf!G26</f>
        <v>6.7088364960705388E-2</v>
      </c>
      <c r="I57" s="34">
        <f>Bermudez_conf!H26</f>
        <v>0</v>
      </c>
      <c r="J57" s="34">
        <f>Bermudez_conf!I26</f>
        <v>98.970497848801472</v>
      </c>
      <c r="K57" s="34">
        <f>Bermudez_conf!J26</f>
        <v>1.1037527593818985</v>
      </c>
      <c r="L57" s="34">
        <f>Bermudez_conf!K26</f>
        <v>0</v>
      </c>
      <c r="M57" s="34">
        <f>Bermudez_conf!L26</f>
        <v>0</v>
      </c>
      <c r="N57" s="34">
        <f>Bermudez_conf!M26</f>
        <v>0</v>
      </c>
    </row>
    <row r="58" spans="2:14" x14ac:dyDescent="0.25">
      <c r="B58" s="3" t="s">
        <v>12</v>
      </c>
      <c r="C58" s="34">
        <f>Bermudez_conf!B27</f>
        <v>2.2308149910767398E-2</v>
      </c>
      <c r="D58" s="34">
        <f>Bermudez_conf!C27</f>
        <v>0</v>
      </c>
      <c r="E58" s="34">
        <f>Bermudez_conf!D27</f>
        <v>3.6854131348124125E-2</v>
      </c>
      <c r="F58" s="34">
        <f>Bermudez_conf!E27</f>
        <v>0</v>
      </c>
      <c r="G58" s="34">
        <f>Bermudez_conf!F27</f>
        <v>42.857142857142854</v>
      </c>
      <c r="H58" s="34">
        <f>Bermudez_conf!G27</f>
        <v>1.4088556641748131</v>
      </c>
      <c r="I58" s="34">
        <f>Bermudez_conf!H27</f>
        <v>0</v>
      </c>
      <c r="J58" s="34">
        <f>Bermudez_conf!I27</f>
        <v>1.0141364474492931</v>
      </c>
      <c r="K58" s="34">
        <f>Bermudez_conf!J27</f>
        <v>76.821192052980138</v>
      </c>
      <c r="L58" s="34">
        <f>Bermudez_conf!K27</f>
        <v>0</v>
      </c>
      <c r="M58" s="34">
        <f>Bermudez_conf!L27</f>
        <v>0</v>
      </c>
      <c r="N58" s="34">
        <f>Bermudez_conf!M27</f>
        <v>0</v>
      </c>
    </row>
    <row r="59" spans="2:14" x14ac:dyDescent="0.25">
      <c r="B59" s="3" t="s">
        <v>8</v>
      </c>
      <c r="C59" s="34">
        <f>Bermudez_conf!B28</f>
        <v>0</v>
      </c>
      <c r="D59" s="34">
        <f>Bermudez_conf!C28</f>
        <v>0</v>
      </c>
      <c r="E59" s="34">
        <f>Bermudez_conf!D28</f>
        <v>0.27149210093118104</v>
      </c>
      <c r="F59" s="34">
        <f>Bermudez_conf!E28</f>
        <v>0</v>
      </c>
      <c r="G59" s="34">
        <f>Bermudez_conf!F28</f>
        <v>0</v>
      </c>
      <c r="H59" s="34">
        <f>Bermudez_conf!G28</f>
        <v>0.13417672992141078</v>
      </c>
      <c r="I59" s="34">
        <f>Bermudez_conf!H28</f>
        <v>0</v>
      </c>
      <c r="J59" s="34">
        <f>Bermudez_conf!I28</f>
        <v>0</v>
      </c>
      <c r="K59" s="34">
        <f>Bermudez_conf!J28</f>
        <v>0</v>
      </c>
      <c r="L59" s="34">
        <f>Bermudez_conf!K28</f>
        <v>68.212560386473427</v>
      </c>
      <c r="M59" s="34">
        <f>Bermudez_conf!L28</f>
        <v>0</v>
      </c>
      <c r="N59" s="34">
        <f>Bermudez_conf!M28</f>
        <v>0</v>
      </c>
    </row>
    <row r="60" spans="2:14" x14ac:dyDescent="0.25">
      <c r="B60" s="3" t="s">
        <v>9</v>
      </c>
      <c r="C60" s="34">
        <f>Bermudez_conf!B29</f>
        <v>0.15615704937537181</v>
      </c>
      <c r="D60" s="34">
        <f>Bermudez_conf!C29</f>
        <v>0.11472275334608031</v>
      </c>
      <c r="E60" s="34">
        <f>Bermudez_conf!D29</f>
        <v>6.1423552246873549E-2</v>
      </c>
      <c r="F60" s="34">
        <f>Bermudez_conf!E29</f>
        <v>0</v>
      </c>
      <c r="G60" s="34">
        <f>Bermudez_conf!F29</f>
        <v>0</v>
      </c>
      <c r="H60" s="34">
        <f>Bermudez_conf!G29</f>
        <v>0</v>
      </c>
      <c r="I60" s="34">
        <f>Bermudez_conf!H29</f>
        <v>0</v>
      </c>
      <c r="J60" s="34">
        <f>Bermudez_conf!I29</f>
        <v>0</v>
      </c>
      <c r="K60" s="34">
        <f>Bermudez_conf!J29</f>
        <v>0</v>
      </c>
      <c r="L60" s="34">
        <f>Bermudez_conf!K29</f>
        <v>0</v>
      </c>
      <c r="M60" s="34">
        <f>Bermudez_conf!L29</f>
        <v>78.403755868544607</v>
      </c>
      <c r="N60" s="34">
        <f>Bermudez_conf!M29</f>
        <v>0</v>
      </c>
    </row>
    <row r="61" spans="2:14" x14ac:dyDescent="0.25">
      <c r="B61" s="3" t="s">
        <v>10</v>
      </c>
      <c r="C61" s="34">
        <f>Bermudez_conf!B30</f>
        <v>0</v>
      </c>
      <c r="D61" s="34">
        <f>Bermudez_conf!C30</f>
        <v>0</v>
      </c>
      <c r="E61" s="34">
        <f>Bermudez_conf!D30</f>
        <v>0</v>
      </c>
      <c r="F61" s="34">
        <f>Bermudez_conf!E30</f>
        <v>0</v>
      </c>
      <c r="G61" s="34">
        <f>Bermudez_conf!F30</f>
        <v>0</v>
      </c>
      <c r="H61" s="34">
        <f>Bermudez_conf!G30</f>
        <v>0</v>
      </c>
      <c r="I61" s="34">
        <f>Bermudez_conf!H30</f>
        <v>0</v>
      </c>
      <c r="J61" s="34">
        <f>Bermudez_conf!I30</f>
        <v>0</v>
      </c>
      <c r="K61" s="34">
        <f>Bermudez_conf!J30</f>
        <v>0</v>
      </c>
      <c r="L61" s="34">
        <f>Bermudez_conf!K30</f>
        <v>0</v>
      </c>
      <c r="M61" s="34">
        <f>Bermudez_conf!L30</f>
        <v>0</v>
      </c>
      <c r="N61" s="34">
        <f>Bermudez_conf!M30</f>
        <v>0</v>
      </c>
    </row>
  </sheetData>
  <mergeCells count="2">
    <mergeCell ref="AE6:AP6"/>
    <mergeCell ref="AE20:AP20"/>
  </mergeCells>
  <conditionalFormatting sqref="D7:N7">
    <cfRule type="colorScale" priority="52">
      <colorScale>
        <cfvo type="num" val="0"/>
        <cfvo type="num" val="1"/>
        <color rgb="FFFF7128"/>
        <color theme="9"/>
      </colorScale>
    </cfRule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8:N19">
    <cfRule type="colorScale" priority="50">
      <colorScale>
        <cfvo type="num" val="0"/>
        <cfvo type="num" val="100"/>
        <color rgb="FFFFFBE7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48">
      <colorScale>
        <cfvo type="num" val="0"/>
        <cfvo type="num" val="1"/>
        <color rgb="FFFF7128"/>
        <color theme="9"/>
      </colorScale>
    </cfRule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7:AB7">
    <cfRule type="colorScale" priority="46">
      <colorScale>
        <cfvo type="num" val="0"/>
        <cfvo type="num" val="1"/>
        <color rgb="FFFF7128"/>
        <color theme="9"/>
      </colorScale>
    </cfRule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8:AB19">
    <cfRule type="colorScale" priority="44">
      <colorScale>
        <cfvo type="num" val="0"/>
        <cfvo type="num" val="100"/>
        <color rgb="FFFFFBE7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">
    <cfRule type="colorScale" priority="42">
      <colorScale>
        <cfvo type="num" val="0"/>
        <cfvo type="num" val="1"/>
        <color rgb="FFFF7128"/>
        <color theme="9"/>
      </colorScale>
    </cfRule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:AB21">
    <cfRule type="colorScale" priority="40">
      <colorScale>
        <cfvo type="num" val="0"/>
        <cfvo type="num" val="1"/>
        <color rgb="FFFF7128"/>
        <color theme="9"/>
      </colorScale>
    </cfRule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:AB33">
    <cfRule type="colorScale" priority="38">
      <colorScale>
        <cfvo type="num" val="0"/>
        <cfvo type="num" val="100"/>
        <color rgb="FFFFFBE7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3">
    <cfRule type="colorScale" priority="36">
      <colorScale>
        <cfvo type="num" val="0"/>
        <cfvo type="num" val="1"/>
        <color rgb="FFFF7128"/>
        <color theme="9"/>
      </colorScale>
    </cfRule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N21">
    <cfRule type="colorScale" priority="28">
      <colorScale>
        <cfvo type="num" val="0"/>
        <cfvo type="num" val="1"/>
        <color rgb="FFFF7128"/>
        <color theme="9"/>
      </colorScale>
    </cfRule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2:N33">
    <cfRule type="colorScale" priority="26">
      <colorScale>
        <cfvo type="num" val="0"/>
        <cfvo type="num" val="100"/>
        <color rgb="FFFFFBE7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">
    <cfRule type="colorScale" priority="24">
      <colorScale>
        <cfvo type="num" val="0"/>
        <cfvo type="num" val="1"/>
        <color rgb="FFFF7128"/>
        <color theme="9"/>
      </colorScale>
    </cfRule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5:N35">
    <cfRule type="colorScale" priority="22">
      <colorScale>
        <cfvo type="num" val="0"/>
        <cfvo type="num" val="1"/>
        <color rgb="FFFF7128"/>
        <color theme="9"/>
      </colorScale>
    </cfRule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6:N47">
    <cfRule type="colorScale" priority="20">
      <colorScale>
        <cfvo type="num" val="0"/>
        <cfvo type="num" val="100"/>
        <color rgb="FFFFFBE7"/>
        <color rgb="FF63BE7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7">
    <cfRule type="colorScale" priority="18">
      <colorScale>
        <cfvo type="num" val="0"/>
        <cfvo type="num" val="1"/>
        <color rgb="FFFF7128"/>
        <color theme="9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:N49">
    <cfRule type="colorScale" priority="16">
      <colorScale>
        <cfvo type="num" val="0"/>
        <cfvo type="num" val="1"/>
        <color rgb="FFFF7128"/>
        <color theme="9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0:N61">
    <cfRule type="colorScale" priority="14">
      <colorScale>
        <cfvo type="num" val="0"/>
        <cfvo type="num" val="100"/>
        <color rgb="FFFFFBE7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1">
    <cfRule type="colorScale" priority="12">
      <colorScale>
        <cfvo type="num" val="0"/>
        <cfvo type="num" val="1"/>
        <color rgb="FFFF7128"/>
        <color theme="9"/>
      </colorScale>
    </cfRule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7:AP7">
    <cfRule type="colorScale" priority="10">
      <colorScale>
        <cfvo type="num" val="0"/>
        <cfvo type="num" val="1"/>
        <color rgb="FFFF7128"/>
        <color theme="9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1:AP21">
    <cfRule type="colorScale" priority="7">
      <colorScale>
        <cfvo type="num" val="0"/>
        <cfvo type="num" val="1"/>
        <color rgb="FFFF7128"/>
        <color theme="9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22:AP33">
    <cfRule type="colorScale" priority="6">
      <colorScale>
        <cfvo type="num" val="-2500"/>
        <cfvo type="percentile" val="50"/>
        <cfvo type="num" val="2500"/>
        <color rgb="FFFF7128"/>
        <color rgb="FFFFEB84"/>
        <color theme="9"/>
      </colorScale>
    </cfRule>
  </conditionalFormatting>
  <conditionalFormatting sqref="AD23">
    <cfRule type="colorScale" priority="4">
      <colorScale>
        <cfvo type="num" val="0"/>
        <cfvo type="num" val="1"/>
        <color rgb="FFFF7128"/>
        <color theme="9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8:AP19">
    <cfRule type="colorScale" priority="3">
      <colorScale>
        <cfvo type="num" val="-2500"/>
        <cfvo type="percentile" val="50"/>
        <cfvo type="num" val="2500"/>
        <color rgb="FFFF7128"/>
        <color rgb="FFFFEB84"/>
        <color theme="9"/>
      </colorScale>
    </cfRule>
  </conditionalFormatting>
  <conditionalFormatting sqref="AD9">
    <cfRule type="colorScale" priority="1">
      <colorScale>
        <cfvo type="num" val="0"/>
        <cfvo type="num" val="1"/>
        <color rgb="FFFF7128"/>
        <color theme="9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4A5D6-10E4-47D7-9639-D502B217DD79}">
  <dimension ref="A1:AE31"/>
  <sheetViews>
    <sheetView workbookViewId="0">
      <selection activeCell="O18" sqref="O18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1" spans="1:29" ht="127.5" x14ac:dyDescent="0.25">
      <c r="B1" s="5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</row>
    <row r="2" spans="1:29" x14ac:dyDescent="0.25">
      <c r="A2" t="s">
        <v>25</v>
      </c>
      <c r="B2" s="7">
        <v>10915</v>
      </c>
      <c r="C2" s="7">
        <v>1499</v>
      </c>
      <c r="D2" s="7">
        <v>1248</v>
      </c>
      <c r="E2" s="7">
        <v>101</v>
      </c>
      <c r="F2" s="7">
        <v>0</v>
      </c>
      <c r="G2" s="7">
        <v>277</v>
      </c>
      <c r="H2" s="7">
        <v>0</v>
      </c>
      <c r="I2" s="7">
        <v>0</v>
      </c>
      <c r="J2" s="7">
        <v>0</v>
      </c>
      <c r="K2" s="7">
        <v>5</v>
      </c>
      <c r="L2" s="7">
        <v>0</v>
      </c>
      <c r="M2" s="7">
        <v>0</v>
      </c>
      <c r="O2" s="8">
        <f>SUM(B2:M13)</f>
        <v>122397</v>
      </c>
      <c r="R2" s="7">
        <f>B2/$O$2*100</f>
        <v>8.9177022312638385</v>
      </c>
      <c r="S2" s="7">
        <f t="shared" ref="S2:AC13" si="0">C2/$O$2*100</f>
        <v>1.2247032198501597</v>
      </c>
      <c r="T2" s="7">
        <f t="shared" si="0"/>
        <v>1.0196328341380916</v>
      </c>
      <c r="U2" s="7">
        <f t="shared" si="0"/>
        <v>8.251836237816286E-2</v>
      </c>
      <c r="V2" s="7">
        <f t="shared" si="0"/>
        <v>0</v>
      </c>
      <c r="W2" s="7">
        <f t="shared" si="0"/>
        <v>0.22631273642327834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4.0850674444635081E-3</v>
      </c>
      <c r="AB2" s="7">
        <f t="shared" si="0"/>
        <v>0</v>
      </c>
      <c r="AC2" s="7">
        <f t="shared" si="0"/>
        <v>0</v>
      </c>
    </row>
    <row r="3" spans="1:29" x14ac:dyDescent="0.25">
      <c r="A3" s="3" t="s">
        <v>1</v>
      </c>
      <c r="B3" s="7">
        <v>2268</v>
      </c>
      <c r="C3" s="7">
        <v>3674</v>
      </c>
      <c r="D3" s="7">
        <v>6018</v>
      </c>
      <c r="E3" s="7">
        <v>136</v>
      </c>
      <c r="F3" s="7">
        <v>0</v>
      </c>
      <c r="G3" s="7">
        <v>58</v>
      </c>
      <c r="H3" s="7">
        <v>0</v>
      </c>
      <c r="I3" s="7">
        <v>0</v>
      </c>
      <c r="J3" s="7">
        <v>0</v>
      </c>
      <c r="K3" s="7">
        <v>102</v>
      </c>
      <c r="L3" s="7">
        <v>27</v>
      </c>
      <c r="M3" s="7">
        <v>0</v>
      </c>
      <c r="R3" s="7">
        <f t="shared" ref="R3:R13" si="1">B3/$O$2*100</f>
        <v>1.8529865928086471</v>
      </c>
      <c r="S3" s="7">
        <f t="shared" si="0"/>
        <v>3.0017075581917858</v>
      </c>
      <c r="T3" s="7">
        <f t="shared" si="0"/>
        <v>4.9167871761562782</v>
      </c>
      <c r="U3" s="7">
        <f t="shared" si="0"/>
        <v>0.11111383448940743</v>
      </c>
      <c r="V3" s="7">
        <f t="shared" si="0"/>
        <v>0</v>
      </c>
      <c r="W3" s="7">
        <f t="shared" si="0"/>
        <v>4.7386782355776695E-2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8.3335375867055569E-2</v>
      </c>
      <c r="AB3" s="7">
        <f t="shared" si="0"/>
        <v>2.2059364200102943E-2</v>
      </c>
      <c r="AC3" s="7">
        <f t="shared" si="0"/>
        <v>0</v>
      </c>
    </row>
    <row r="4" spans="1:29" x14ac:dyDescent="0.25">
      <c r="A4" s="4" t="s">
        <v>2</v>
      </c>
      <c r="B4" s="7">
        <v>303</v>
      </c>
      <c r="C4" s="7">
        <v>2331</v>
      </c>
      <c r="D4" s="7">
        <v>67989</v>
      </c>
      <c r="E4" s="7">
        <v>619</v>
      </c>
      <c r="F4" s="7">
        <v>0</v>
      </c>
      <c r="G4" s="7">
        <v>363</v>
      </c>
      <c r="H4" s="7">
        <v>0</v>
      </c>
      <c r="I4" s="7">
        <v>0</v>
      </c>
      <c r="J4" s="7">
        <v>0</v>
      </c>
      <c r="K4" s="7">
        <v>190</v>
      </c>
      <c r="L4" s="7">
        <v>32</v>
      </c>
      <c r="M4" s="7">
        <v>0</v>
      </c>
      <c r="R4" s="7">
        <f t="shared" si="1"/>
        <v>0.24755508713448859</v>
      </c>
      <c r="S4" s="7">
        <f t="shared" si="0"/>
        <v>1.9044584426088875</v>
      </c>
      <c r="T4" s="7">
        <f>D4/$O$2*100</f>
        <v>55.547930096325892</v>
      </c>
      <c r="U4" s="7">
        <f t="shared" si="0"/>
        <v>0.50573134962458233</v>
      </c>
      <c r="V4" s="7">
        <f t="shared" si="0"/>
        <v>0</v>
      </c>
      <c r="W4" s="7">
        <f t="shared" si="0"/>
        <v>0.29657589646805066</v>
      </c>
      <c r="X4" s="7">
        <f t="shared" si="0"/>
        <v>0</v>
      </c>
      <c r="Y4" s="7">
        <f t="shared" si="0"/>
        <v>0</v>
      </c>
      <c r="Z4" s="7">
        <f t="shared" si="0"/>
        <v>0</v>
      </c>
      <c r="AA4" s="7">
        <f t="shared" si="0"/>
        <v>0.15523256288961332</v>
      </c>
      <c r="AB4" s="7">
        <f t="shared" si="0"/>
        <v>2.6144431644566455E-2</v>
      </c>
      <c r="AC4" s="7">
        <f t="shared" si="0"/>
        <v>0</v>
      </c>
    </row>
    <row r="5" spans="1:29" x14ac:dyDescent="0.25">
      <c r="A5" s="3" t="s">
        <v>3</v>
      </c>
      <c r="B5" s="7">
        <v>14</v>
      </c>
      <c r="C5" s="7">
        <v>107</v>
      </c>
      <c r="D5" s="7">
        <v>2125</v>
      </c>
      <c r="E5" s="7">
        <v>831</v>
      </c>
      <c r="F5" s="7">
        <v>0</v>
      </c>
      <c r="G5" s="7">
        <v>1318</v>
      </c>
      <c r="H5" s="7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si="1"/>
        <v>1.1438188844497823E-2</v>
      </c>
      <c r="S5" s="7">
        <f t="shared" si="0"/>
        <v>8.7420443311519075E-2</v>
      </c>
      <c r="T5" s="7">
        <f t="shared" si="0"/>
        <v>1.7361536638969908</v>
      </c>
      <c r="U5" s="7">
        <f t="shared" si="0"/>
        <v>0.67893820926983506</v>
      </c>
      <c r="V5" s="7">
        <f t="shared" si="0"/>
        <v>0</v>
      </c>
      <c r="W5" s="7">
        <f t="shared" si="0"/>
        <v>1.0768237783605807</v>
      </c>
      <c r="X5" s="7">
        <f t="shared" si="0"/>
        <v>8.1701348889270172E-4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1:29" x14ac:dyDescent="0.25">
      <c r="A6" s="3" t="s">
        <v>11</v>
      </c>
      <c r="B6" s="7">
        <v>0</v>
      </c>
      <c r="C6" s="7">
        <v>0</v>
      </c>
      <c r="D6" s="7">
        <v>202</v>
      </c>
      <c r="E6" s="7">
        <v>0</v>
      </c>
      <c r="F6" s="7">
        <v>0</v>
      </c>
      <c r="G6" s="7">
        <v>30</v>
      </c>
      <c r="H6" s="7">
        <v>0</v>
      </c>
      <c r="I6" s="7">
        <v>1</v>
      </c>
      <c r="J6" s="7">
        <v>0</v>
      </c>
      <c r="K6" s="7">
        <v>0</v>
      </c>
      <c r="L6" s="7">
        <v>54</v>
      </c>
      <c r="M6" s="7">
        <v>0</v>
      </c>
      <c r="R6" s="7">
        <f t="shared" si="1"/>
        <v>0</v>
      </c>
      <c r="S6" s="7">
        <f t="shared" si="0"/>
        <v>0</v>
      </c>
      <c r="T6" s="7">
        <f t="shared" si="0"/>
        <v>0.16503672475632572</v>
      </c>
      <c r="U6" s="7">
        <f t="shared" si="0"/>
        <v>0</v>
      </c>
      <c r="V6" s="7">
        <f t="shared" si="0"/>
        <v>0</v>
      </c>
      <c r="W6" s="7">
        <f t="shared" si="0"/>
        <v>2.4510404666781047E-2</v>
      </c>
      <c r="X6" s="7">
        <f t="shared" si="0"/>
        <v>0</v>
      </c>
      <c r="Y6" s="7">
        <f t="shared" si="0"/>
        <v>8.1701348889270172E-4</v>
      </c>
      <c r="Z6" s="7">
        <f t="shared" si="0"/>
        <v>0</v>
      </c>
      <c r="AA6" s="7">
        <f t="shared" si="0"/>
        <v>0</v>
      </c>
      <c r="AB6" s="7">
        <f t="shared" si="0"/>
        <v>4.4118728400205885E-2</v>
      </c>
      <c r="AC6" s="7">
        <f t="shared" si="0"/>
        <v>0</v>
      </c>
    </row>
    <row r="7" spans="1:29" x14ac:dyDescent="0.25">
      <c r="A7" s="3" t="s">
        <v>4</v>
      </c>
      <c r="B7" s="7">
        <v>567</v>
      </c>
      <c r="C7" s="7">
        <v>23</v>
      </c>
      <c r="D7" s="7">
        <v>1102</v>
      </c>
      <c r="E7" s="7">
        <v>495</v>
      </c>
      <c r="F7" s="7">
        <v>0</v>
      </c>
      <c r="G7" s="7">
        <v>6158</v>
      </c>
      <c r="H7" s="7">
        <v>0</v>
      </c>
      <c r="I7" s="7">
        <v>0</v>
      </c>
      <c r="J7" s="7">
        <v>0</v>
      </c>
      <c r="K7" s="7">
        <v>29</v>
      </c>
      <c r="L7" s="7">
        <v>0</v>
      </c>
      <c r="M7" s="7">
        <v>0</v>
      </c>
      <c r="R7" s="7">
        <f t="shared" si="1"/>
        <v>0.46324664820216177</v>
      </c>
      <c r="S7" s="7">
        <f t="shared" si="0"/>
        <v>1.8791310244532136E-2</v>
      </c>
      <c r="T7" s="7">
        <f t="shared" si="0"/>
        <v>0.90034886475975717</v>
      </c>
      <c r="U7" s="7">
        <f t="shared" si="0"/>
        <v>0.4044216770018873</v>
      </c>
      <c r="V7" s="7">
        <f t="shared" si="0"/>
        <v>0</v>
      </c>
      <c r="W7" s="7">
        <f t="shared" si="0"/>
        <v>5.031169064601257</v>
      </c>
      <c r="X7" s="7">
        <f t="shared" si="0"/>
        <v>0</v>
      </c>
      <c r="Y7" s="7">
        <f t="shared" si="0"/>
        <v>0</v>
      </c>
      <c r="Z7" s="7">
        <f t="shared" si="0"/>
        <v>0</v>
      </c>
      <c r="AA7" s="7">
        <f t="shared" si="0"/>
        <v>2.3693391177888348E-2</v>
      </c>
      <c r="AB7" s="7">
        <f t="shared" si="0"/>
        <v>0</v>
      </c>
      <c r="AC7" s="7">
        <f t="shared" si="0"/>
        <v>0</v>
      </c>
    </row>
    <row r="8" spans="1:29" x14ac:dyDescent="0.25">
      <c r="A8" s="3" t="s">
        <v>5</v>
      </c>
      <c r="B8" s="7">
        <v>136</v>
      </c>
      <c r="C8" s="7">
        <v>0</v>
      </c>
      <c r="D8" s="7">
        <v>25</v>
      </c>
      <c r="E8" s="7">
        <v>4</v>
      </c>
      <c r="F8" s="7">
        <v>0</v>
      </c>
      <c r="G8" s="7">
        <v>2491</v>
      </c>
      <c r="H8" s="7">
        <v>249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0.11111383448940743</v>
      </c>
      <c r="S8" s="7">
        <f t="shared" si="0"/>
        <v>0</v>
      </c>
      <c r="T8" s="7">
        <f t="shared" si="0"/>
        <v>2.0425337222317541E-2</v>
      </c>
      <c r="U8" s="7">
        <f t="shared" si="0"/>
        <v>3.2680539555708069E-3</v>
      </c>
      <c r="V8" s="7">
        <f t="shared" si="0"/>
        <v>0</v>
      </c>
      <c r="W8" s="7">
        <f t="shared" si="0"/>
        <v>2.0351806008317199</v>
      </c>
      <c r="X8" s="7">
        <f t="shared" si="0"/>
        <v>0.2034363587342827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1:29" x14ac:dyDescent="0.25">
      <c r="A9" s="3" t="s">
        <v>6</v>
      </c>
      <c r="B9" s="7">
        <v>0</v>
      </c>
      <c r="C9" s="7">
        <v>0</v>
      </c>
      <c r="D9" s="7">
        <v>81</v>
      </c>
      <c r="E9" s="7">
        <v>0</v>
      </c>
      <c r="F9" s="7">
        <v>0</v>
      </c>
      <c r="G9" s="7">
        <v>660</v>
      </c>
      <c r="H9" s="7">
        <v>0</v>
      </c>
      <c r="I9" s="7">
        <v>5756</v>
      </c>
      <c r="J9" s="7">
        <v>0</v>
      </c>
      <c r="K9" s="7">
        <v>0</v>
      </c>
      <c r="L9" s="7">
        <v>1</v>
      </c>
      <c r="M9" s="7">
        <v>0</v>
      </c>
      <c r="R9" s="7">
        <f t="shared" si="1"/>
        <v>0</v>
      </c>
      <c r="S9" s="7">
        <f t="shared" si="0"/>
        <v>0</v>
      </c>
      <c r="T9" s="7">
        <f t="shared" si="0"/>
        <v>6.6178092600308824E-2</v>
      </c>
      <c r="U9" s="7">
        <f t="shared" si="0"/>
        <v>0</v>
      </c>
      <c r="V9" s="7">
        <f t="shared" si="0"/>
        <v>0</v>
      </c>
      <c r="W9" s="7">
        <f t="shared" si="0"/>
        <v>0.53922890266918311</v>
      </c>
      <c r="X9" s="7">
        <f t="shared" si="0"/>
        <v>0</v>
      </c>
      <c r="Y9" s="7">
        <f t="shared" si="0"/>
        <v>4.70272964206639</v>
      </c>
      <c r="Z9" s="7">
        <f t="shared" si="0"/>
        <v>0</v>
      </c>
      <c r="AA9" s="7">
        <f t="shared" si="0"/>
        <v>0</v>
      </c>
      <c r="AB9" s="7">
        <f t="shared" si="0"/>
        <v>8.1701348889270172E-4</v>
      </c>
      <c r="AC9" s="7">
        <f t="shared" si="0"/>
        <v>0</v>
      </c>
    </row>
    <row r="10" spans="1:29" x14ac:dyDescent="0.25">
      <c r="A10" s="3" t="s">
        <v>7</v>
      </c>
      <c r="B10" s="7">
        <v>8</v>
      </c>
      <c r="C10" s="7">
        <v>3</v>
      </c>
      <c r="D10" s="7">
        <v>25</v>
      </c>
      <c r="E10" s="7">
        <v>0</v>
      </c>
      <c r="F10" s="7">
        <v>0</v>
      </c>
      <c r="G10" s="7">
        <v>249</v>
      </c>
      <c r="H10" s="7">
        <v>0</v>
      </c>
      <c r="I10" s="7">
        <v>56</v>
      </c>
      <c r="J10" s="7">
        <v>0</v>
      </c>
      <c r="K10" s="7">
        <v>0</v>
      </c>
      <c r="L10" s="7">
        <v>256</v>
      </c>
      <c r="M10" s="7">
        <v>0</v>
      </c>
      <c r="R10" s="7">
        <f t="shared" si="1"/>
        <v>6.5361079111416137E-3</v>
      </c>
      <c r="S10" s="7">
        <f t="shared" si="0"/>
        <v>2.4510404666781048E-3</v>
      </c>
      <c r="T10" s="7">
        <f t="shared" si="0"/>
        <v>2.0425337222317541E-2</v>
      </c>
      <c r="U10" s="7">
        <f t="shared" si="0"/>
        <v>0</v>
      </c>
      <c r="V10" s="7">
        <f t="shared" si="0"/>
        <v>0</v>
      </c>
      <c r="W10" s="7">
        <f t="shared" si="0"/>
        <v>0.2034363587342827</v>
      </c>
      <c r="X10" s="7">
        <f t="shared" si="0"/>
        <v>0</v>
      </c>
      <c r="Y10" s="7">
        <f t="shared" si="0"/>
        <v>4.575275537799129E-2</v>
      </c>
      <c r="Z10" s="7">
        <f t="shared" si="0"/>
        <v>0</v>
      </c>
      <c r="AA10" s="7">
        <f t="shared" si="0"/>
        <v>0</v>
      </c>
      <c r="AB10" s="7">
        <f t="shared" si="0"/>
        <v>0.20915545315653164</v>
      </c>
      <c r="AC10" s="7">
        <f t="shared" si="0"/>
        <v>0</v>
      </c>
    </row>
    <row r="11" spans="1:29" x14ac:dyDescent="0.25">
      <c r="A11" s="3" t="s">
        <v>12</v>
      </c>
      <c r="B11" s="7">
        <v>114</v>
      </c>
      <c r="C11" s="7">
        <v>0</v>
      </c>
      <c r="D11" s="7">
        <v>379</v>
      </c>
      <c r="E11" s="7">
        <v>0</v>
      </c>
      <c r="F11" s="7">
        <v>0</v>
      </c>
      <c r="G11" s="7">
        <v>38</v>
      </c>
      <c r="H11" s="7">
        <v>0</v>
      </c>
      <c r="I11" s="7">
        <v>0</v>
      </c>
      <c r="J11" s="7">
        <v>0</v>
      </c>
      <c r="K11" s="7">
        <v>410</v>
      </c>
      <c r="L11" s="7">
        <v>0</v>
      </c>
      <c r="M11" s="7">
        <v>0</v>
      </c>
      <c r="R11" s="7">
        <f t="shared" si="1"/>
        <v>9.3139537733767985E-2</v>
      </c>
      <c r="S11" s="7">
        <f t="shared" si="0"/>
        <v>0</v>
      </c>
      <c r="T11" s="7">
        <f t="shared" si="0"/>
        <v>0.30964811229033395</v>
      </c>
      <c r="U11" s="7">
        <f t="shared" si="0"/>
        <v>0</v>
      </c>
      <c r="V11" s="7">
        <f t="shared" si="0"/>
        <v>0</v>
      </c>
      <c r="W11" s="7">
        <f t="shared" si="0"/>
        <v>3.1046512577922659E-2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0.3349755304460077</v>
      </c>
      <c r="AB11" s="7">
        <f t="shared" si="0"/>
        <v>0</v>
      </c>
      <c r="AC11" s="7">
        <f t="shared" si="0"/>
        <v>0</v>
      </c>
    </row>
    <row r="12" spans="1:29" x14ac:dyDescent="0.25">
      <c r="A12" s="3" t="s">
        <v>8</v>
      </c>
      <c r="B12" s="7">
        <v>18</v>
      </c>
      <c r="C12" s="7">
        <v>8</v>
      </c>
      <c r="D12" s="7">
        <v>25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193</v>
      </c>
      <c r="M12" s="7">
        <v>0</v>
      </c>
      <c r="R12" s="7">
        <f t="shared" si="1"/>
        <v>1.4706242800068629E-2</v>
      </c>
      <c r="S12" s="7">
        <f t="shared" si="0"/>
        <v>6.5361079111416137E-3</v>
      </c>
      <c r="T12" s="7">
        <f t="shared" si="0"/>
        <v>2.0425337222317541E-2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0.15768360335629139</v>
      </c>
      <c r="AC12" s="7">
        <f t="shared" si="0"/>
        <v>0</v>
      </c>
    </row>
    <row r="13" spans="1:29" x14ac:dyDescent="0.25">
      <c r="A13" s="3" t="s">
        <v>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4" spans="1:29" x14ac:dyDescent="0.25">
      <c r="A14" s="3" t="s">
        <v>10</v>
      </c>
    </row>
    <row r="16" spans="1:29" x14ac:dyDescent="0.25">
      <c r="B16" t="s">
        <v>42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76.099839643031444</v>
      </c>
      <c r="C19" s="7">
        <f t="shared" ref="C19:M19" si="2">IFERROR(C2/SUM(C$2:C$13)*100,0)</f>
        <v>19.607586657946371</v>
      </c>
      <c r="D19" s="7">
        <f t="shared" si="2"/>
        <v>1.5753796437723275</v>
      </c>
      <c r="E19" s="7">
        <f t="shared" si="2"/>
        <v>4.6203110704483077</v>
      </c>
      <c r="F19" s="7">
        <f t="shared" si="2"/>
        <v>0</v>
      </c>
      <c r="G19" s="7">
        <f t="shared" si="2"/>
        <v>2.379316268682357</v>
      </c>
      <c r="H19" s="7">
        <f t="shared" si="2"/>
        <v>0</v>
      </c>
      <c r="I19" s="7">
        <f t="shared" si="2"/>
        <v>0</v>
      </c>
      <c r="J19" s="7">
        <f t="shared" si="2"/>
        <v>0</v>
      </c>
      <c r="K19" s="7">
        <f t="shared" si="2"/>
        <v>0.67934782608695654</v>
      </c>
      <c r="L19" s="7">
        <f t="shared" si="2"/>
        <v>0</v>
      </c>
      <c r="M19" s="7">
        <f t="shared" si="2"/>
        <v>0</v>
      </c>
      <c r="R19">
        <f>B2*'scoring matrix'!C4</f>
        <v>0</v>
      </c>
      <c r="S19">
        <f>C2*'scoring matrix'!D4</f>
        <v>2998</v>
      </c>
      <c r="T19">
        <f>D2*'scoring matrix'!E4</f>
        <v>4368</v>
      </c>
      <c r="U19">
        <f>E2*'scoring matrix'!F4</f>
        <v>303</v>
      </c>
      <c r="V19">
        <f>F2*'scoring matrix'!G4</f>
        <v>0</v>
      </c>
      <c r="W19">
        <f>G2*'scoring matrix'!H4</f>
        <v>969.5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12.5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20" si="3">IFERROR(B3/SUM(B$2:B$13)*100,0)</f>
        <v>15.812591508052709</v>
      </c>
      <c r="C20" s="7">
        <f t="shared" si="3"/>
        <v>48.057553956834532</v>
      </c>
      <c r="D20" s="7">
        <f t="shared" si="3"/>
        <v>7.5966624168444437</v>
      </c>
      <c r="E20" s="7">
        <f t="shared" si="3"/>
        <v>6.2214089661482159</v>
      </c>
      <c r="F20" s="7">
        <f t="shared" si="3"/>
        <v>0</v>
      </c>
      <c r="G20" s="7">
        <f t="shared" si="3"/>
        <v>0.49819618622229855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13.858695652173914</v>
      </c>
      <c r="L20" s="7">
        <f t="shared" si="3"/>
        <v>4.7957371225577266</v>
      </c>
      <c r="M20" s="7">
        <f t="shared" si="3"/>
        <v>0</v>
      </c>
      <c r="R20">
        <f>B3*'scoring matrix'!C5</f>
        <v>4536</v>
      </c>
      <c r="S20">
        <f>C3*'scoring matrix'!D5</f>
        <v>0</v>
      </c>
      <c r="T20">
        <f>D3*'scoring matrix'!E5</f>
        <v>14292.75</v>
      </c>
      <c r="U20">
        <f>E3*'scoring matrix'!F5</f>
        <v>374</v>
      </c>
      <c r="V20">
        <f>F3*'scoring matrix'!G5</f>
        <v>0</v>
      </c>
      <c r="W20">
        <f>G3*'scoring matrix'!H5</f>
        <v>217.5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306</v>
      </c>
      <c r="AB20">
        <f>L3*'scoring matrix'!M5</f>
        <v>101.25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ref="B21:M21" si="4">IFERROR(B4/SUM(B$2:B$13)*100,0)</f>
        <v>2.1125287596737081</v>
      </c>
      <c r="C21" s="7">
        <f t="shared" si="4"/>
        <v>30.490516677567037</v>
      </c>
      <c r="D21" s="7">
        <f t="shared" si="4"/>
        <v>85.824107852914082</v>
      </c>
      <c r="E21" s="7">
        <f t="shared" si="4"/>
        <v>28.316559926806956</v>
      </c>
      <c r="F21" s="7">
        <f t="shared" si="4"/>
        <v>0</v>
      </c>
      <c r="G21" s="7">
        <f t="shared" si="4"/>
        <v>3.1180209585981791</v>
      </c>
      <c r="H21" s="7">
        <f t="shared" si="4"/>
        <v>0</v>
      </c>
      <c r="I21" s="7">
        <f t="shared" si="4"/>
        <v>0</v>
      </c>
      <c r="J21" s="7">
        <f t="shared" si="4"/>
        <v>0</v>
      </c>
      <c r="K21" s="7">
        <f t="shared" si="4"/>
        <v>25.815217391304344</v>
      </c>
      <c r="L21" s="7">
        <f t="shared" si="4"/>
        <v>5.6838365896980463</v>
      </c>
      <c r="M21" s="7">
        <f t="shared" si="4"/>
        <v>0</v>
      </c>
      <c r="R21">
        <f>B4*'scoring matrix'!C6</f>
        <v>1060.5</v>
      </c>
      <c r="S21">
        <f>C4*'scoring matrix'!D6</f>
        <v>5536.125</v>
      </c>
      <c r="T21">
        <f>D4*'scoring matrix'!E6</f>
        <v>0</v>
      </c>
      <c r="U21">
        <f>E4*'scoring matrix'!F6</f>
        <v>1238</v>
      </c>
      <c r="V21">
        <f>F4*'scoring matrix'!G6</f>
        <v>0</v>
      </c>
      <c r="W21">
        <f>G4*'scoring matrix'!H6</f>
        <v>1270.5</v>
      </c>
      <c r="X21">
        <f>H4*'scoring matrix'!I6</f>
        <v>0</v>
      </c>
      <c r="Y21">
        <f>I4*'scoring matrix'!J6</f>
        <v>0</v>
      </c>
      <c r="Z21">
        <f>J4*'scoring matrix'!K6</f>
        <v>0</v>
      </c>
      <c r="AA21">
        <f>K4*'scoring matrix'!L6</f>
        <v>522.5</v>
      </c>
      <c r="AB21">
        <f>L4*'scoring matrix'!M6</f>
        <v>104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ref="B22:M22" si="5">IFERROR(B5/SUM(B$2:B$13)*100,0)</f>
        <v>9.760858955588092E-2</v>
      </c>
      <c r="C22" s="7">
        <f t="shared" si="5"/>
        <v>1.3996075866579463</v>
      </c>
      <c r="D22" s="7">
        <f t="shared" si="5"/>
        <v>2.6824372940834902</v>
      </c>
      <c r="E22" s="7">
        <f t="shared" si="5"/>
        <v>38.01463860933211</v>
      </c>
      <c r="F22" s="7">
        <f t="shared" si="5"/>
        <v>0</v>
      </c>
      <c r="G22" s="7">
        <f t="shared" si="5"/>
        <v>11.321078852430853</v>
      </c>
      <c r="H22" s="7">
        <f t="shared" si="5"/>
        <v>0.4</v>
      </c>
      <c r="I22" s="7">
        <f t="shared" si="5"/>
        <v>0</v>
      </c>
      <c r="J22" s="7">
        <f t="shared" si="5"/>
        <v>0</v>
      </c>
      <c r="K22" s="7">
        <f t="shared" si="5"/>
        <v>0</v>
      </c>
      <c r="L22" s="7">
        <f t="shared" si="5"/>
        <v>0</v>
      </c>
      <c r="M22" s="7">
        <f t="shared" si="5"/>
        <v>0</v>
      </c>
      <c r="R22">
        <f>B5*'scoring matrix'!C7</f>
        <v>42</v>
      </c>
      <c r="S22">
        <f>C5*'scoring matrix'!D7</f>
        <v>294.25</v>
      </c>
      <c r="T22">
        <f>D5*'scoring matrix'!E7</f>
        <v>4250</v>
      </c>
      <c r="U22">
        <f>E5*'scoring matrix'!F7</f>
        <v>0</v>
      </c>
      <c r="V22">
        <f>F5*'scoring matrix'!G7</f>
        <v>0</v>
      </c>
      <c r="W22">
        <f>G5*'scoring matrix'!H7</f>
        <v>2636</v>
      </c>
      <c r="X22">
        <f>H5*'scoring matrix'!I7</f>
        <v>2.25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ref="B23:M23" si="6">IFERROR(B6/SUM(B$2:B$13)*100,0)</f>
        <v>0</v>
      </c>
      <c r="C23" s="7">
        <f t="shared" si="6"/>
        <v>0</v>
      </c>
      <c r="D23" s="7">
        <f t="shared" si="6"/>
        <v>0.25498933336699531</v>
      </c>
      <c r="E23" s="7">
        <f t="shared" si="6"/>
        <v>0</v>
      </c>
      <c r="F23" s="7">
        <f t="shared" si="6"/>
        <v>0</v>
      </c>
      <c r="G23" s="7">
        <f t="shared" si="6"/>
        <v>0.25768768252877516</v>
      </c>
      <c r="H23" s="7">
        <f t="shared" si="6"/>
        <v>0</v>
      </c>
      <c r="I23" s="7">
        <f t="shared" si="6"/>
        <v>1.7202821262687081E-2</v>
      </c>
      <c r="J23" s="7">
        <f t="shared" si="6"/>
        <v>0</v>
      </c>
      <c r="K23" s="7">
        <f t="shared" si="6"/>
        <v>0</v>
      </c>
      <c r="L23" s="7">
        <f t="shared" si="6"/>
        <v>9.5914742451154531</v>
      </c>
      <c r="M23" s="7">
        <f t="shared" si="6"/>
        <v>0</v>
      </c>
      <c r="R23">
        <f>B6*'scoring matrix'!C8</f>
        <v>0</v>
      </c>
      <c r="S23">
        <f>C6*'scoring matrix'!D8</f>
        <v>0</v>
      </c>
      <c r="T23">
        <f>D6*'scoring matrix'!E8</f>
        <v>707</v>
      </c>
      <c r="U23">
        <f>E6*'scoring matrix'!F8</f>
        <v>0</v>
      </c>
      <c r="V23">
        <f>F6*'scoring matrix'!G8</f>
        <v>0</v>
      </c>
      <c r="W23">
        <f>G6*'scoring matrix'!H8</f>
        <v>78.75</v>
      </c>
      <c r="X23">
        <f>H6*'scoring matrix'!I8</f>
        <v>0</v>
      </c>
      <c r="Y23">
        <f>I6*'scoring matrix'!J8</f>
        <v>3.75</v>
      </c>
      <c r="Z23">
        <f>J6*'scoring matrix'!K8</f>
        <v>0</v>
      </c>
      <c r="AA23">
        <f>K6*'scoring matrix'!L8</f>
        <v>0</v>
      </c>
      <c r="AB23">
        <f>L6*'scoring matrix'!M8</f>
        <v>216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ref="B24:M24" si="7">IFERROR(B7/SUM(B$2:B$13)*100,0)</f>
        <v>3.9531478770131772</v>
      </c>
      <c r="C24" s="7">
        <f t="shared" si="7"/>
        <v>0.30085022890778285</v>
      </c>
      <c r="D24" s="7">
        <f t="shared" si="7"/>
        <v>1.3910804226258853</v>
      </c>
      <c r="E24" s="7">
        <f t="shared" si="7"/>
        <v>22.644098810612991</v>
      </c>
      <c r="F24" s="7">
        <f t="shared" si="7"/>
        <v>0</v>
      </c>
      <c r="G24" s="7">
        <f t="shared" si="7"/>
        <v>52.89469163373991</v>
      </c>
      <c r="H24" s="7">
        <f t="shared" si="7"/>
        <v>0</v>
      </c>
      <c r="I24" s="7">
        <f t="shared" si="7"/>
        <v>0</v>
      </c>
      <c r="J24" s="7">
        <f t="shared" si="7"/>
        <v>0</v>
      </c>
      <c r="K24" s="7">
        <f t="shared" si="7"/>
        <v>3.9402173913043481</v>
      </c>
      <c r="L24" s="7">
        <f t="shared" si="7"/>
        <v>0</v>
      </c>
      <c r="M24" s="7">
        <f t="shared" si="7"/>
        <v>0</v>
      </c>
      <c r="P24" s="2"/>
      <c r="R24">
        <f>B7*'scoring matrix'!C9</f>
        <v>1984.5</v>
      </c>
      <c r="S24">
        <f>C7*'scoring matrix'!D9</f>
        <v>86.25</v>
      </c>
      <c r="T24">
        <f>D7*'scoring matrix'!E9</f>
        <v>3857</v>
      </c>
      <c r="U24">
        <f>E7*'scoring matrix'!F9</f>
        <v>990</v>
      </c>
      <c r="V24">
        <f>F7*'scoring matrix'!G9</f>
        <v>0</v>
      </c>
      <c r="W24">
        <f>G7*'scoring matrix'!H9</f>
        <v>0</v>
      </c>
      <c r="X24">
        <f>H7*'scoring matrix'!I9</f>
        <v>0</v>
      </c>
      <c r="Y24">
        <f>I7*'scoring matrix'!J9</f>
        <v>0</v>
      </c>
      <c r="Z24">
        <f>J7*'scoring matrix'!K9</f>
        <v>0</v>
      </c>
      <c r="AA24">
        <f>K7*'scoring matrix'!L9</f>
        <v>101.5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ref="B25:M25" si="8">IFERROR(B8/SUM(B$2:B$13)*100,0)</f>
        <v>0.94819772711427186</v>
      </c>
      <c r="C25" s="7">
        <f t="shared" si="8"/>
        <v>0</v>
      </c>
      <c r="D25" s="7">
        <f t="shared" si="8"/>
        <v>3.1558085812746939E-2</v>
      </c>
      <c r="E25" s="7">
        <f t="shared" si="8"/>
        <v>0.18298261665141813</v>
      </c>
      <c r="F25" s="7">
        <f t="shared" si="8"/>
        <v>0</v>
      </c>
      <c r="G25" s="7">
        <f t="shared" si="8"/>
        <v>21.396667239305962</v>
      </c>
      <c r="H25" s="7">
        <f t="shared" si="8"/>
        <v>99.6</v>
      </c>
      <c r="I25" s="7">
        <f t="shared" si="8"/>
        <v>0</v>
      </c>
      <c r="J25" s="7">
        <f t="shared" si="8"/>
        <v>0</v>
      </c>
      <c r="K25" s="7">
        <f t="shared" si="8"/>
        <v>0</v>
      </c>
      <c r="L25" s="7">
        <f t="shared" si="8"/>
        <v>0</v>
      </c>
      <c r="M25" s="7">
        <f t="shared" si="8"/>
        <v>0</v>
      </c>
      <c r="R25">
        <f>B8*'scoring matrix'!C10</f>
        <v>476</v>
      </c>
      <c r="S25">
        <f>C8*'scoring matrix'!D10</f>
        <v>0</v>
      </c>
      <c r="T25">
        <f>D8*'scoring matrix'!E10</f>
        <v>93.75</v>
      </c>
      <c r="U25">
        <f>E8*'scoring matrix'!F10</f>
        <v>9</v>
      </c>
      <c r="V25">
        <f>F8*'scoring matrix'!G10</f>
        <v>0</v>
      </c>
      <c r="W25">
        <f>G8*'scoring matrix'!H10</f>
        <v>3425.125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64328</v>
      </c>
    </row>
    <row r="26" spans="1:31" ht="23.25" customHeight="1" x14ac:dyDescent="0.25">
      <c r="A26" s="3" t="s">
        <v>7</v>
      </c>
      <c r="B26" s="7">
        <f t="shared" ref="B26:M26" si="9">IFERROR(B9/SUM(B$2:B$13)*100,0)</f>
        <v>0</v>
      </c>
      <c r="C26" s="7">
        <f t="shared" si="9"/>
        <v>0</v>
      </c>
      <c r="D26" s="7">
        <f t="shared" si="9"/>
        <v>0.1022481980333001</v>
      </c>
      <c r="E26" s="7">
        <f t="shared" si="9"/>
        <v>0</v>
      </c>
      <c r="F26" s="7">
        <f t="shared" si="9"/>
        <v>0</v>
      </c>
      <c r="G26" s="7">
        <f t="shared" si="9"/>
        <v>5.6691290156330529</v>
      </c>
      <c r="H26" s="7">
        <f t="shared" si="9"/>
        <v>0</v>
      </c>
      <c r="I26" s="7">
        <f t="shared" si="9"/>
        <v>99.019439188026837</v>
      </c>
      <c r="J26" s="7">
        <f t="shared" si="9"/>
        <v>0</v>
      </c>
      <c r="K26" s="7">
        <f t="shared" si="9"/>
        <v>0</v>
      </c>
      <c r="L26" s="7">
        <f t="shared" si="9"/>
        <v>0.17761989342806395</v>
      </c>
      <c r="M26" s="7">
        <f t="shared" si="9"/>
        <v>0</v>
      </c>
      <c r="R26">
        <f>B9*'scoring matrix'!C11</f>
        <v>0</v>
      </c>
      <c r="S26">
        <f>C9*'scoring matrix'!D11</f>
        <v>0</v>
      </c>
      <c r="T26">
        <f>D9*'scoring matrix'!E11</f>
        <v>324</v>
      </c>
      <c r="U26">
        <f>E9*'scoring matrix'!F11</f>
        <v>0</v>
      </c>
      <c r="V26">
        <f>F9*'scoring matrix'!G11</f>
        <v>0</v>
      </c>
      <c r="W26">
        <f>G9*'scoring matrix'!H11</f>
        <v>2640</v>
      </c>
      <c r="X26">
        <f>H9*'scoring matrix'!I11</f>
        <v>0</v>
      </c>
      <c r="Y26">
        <f>I9*'scoring matrix'!J11</f>
        <v>0</v>
      </c>
      <c r="Z26">
        <f>J9*'scoring matrix'!K11</f>
        <v>0</v>
      </c>
      <c r="AA26">
        <f>K9*'scoring matrix'!L11</f>
        <v>0</v>
      </c>
      <c r="AB26">
        <f>L9*'scoring matrix'!M11</f>
        <v>3.75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ref="B27:M27" si="10">IFERROR(B10/SUM(B$2:B$13)*100,0)</f>
        <v>5.577633688907481E-2</v>
      </c>
      <c r="C27" s="7">
        <f t="shared" si="10"/>
        <v>3.9241334205362979E-2</v>
      </c>
      <c r="D27" s="7">
        <f t="shared" si="10"/>
        <v>3.1558085812746939E-2</v>
      </c>
      <c r="E27" s="7">
        <f t="shared" si="10"/>
        <v>0</v>
      </c>
      <c r="F27" s="7">
        <f t="shared" si="10"/>
        <v>0</v>
      </c>
      <c r="G27" s="7">
        <f t="shared" si="10"/>
        <v>2.1388077649888335</v>
      </c>
      <c r="H27" s="7">
        <f t="shared" si="10"/>
        <v>0</v>
      </c>
      <c r="I27" s="7">
        <f t="shared" si="10"/>
        <v>0.96335799071047645</v>
      </c>
      <c r="J27" s="7">
        <f t="shared" si="10"/>
        <v>0</v>
      </c>
      <c r="K27" s="7">
        <f t="shared" si="10"/>
        <v>0</v>
      </c>
      <c r="L27" s="7">
        <f t="shared" si="10"/>
        <v>45.47069271758437</v>
      </c>
      <c r="M27" s="7">
        <f t="shared" si="10"/>
        <v>0</v>
      </c>
      <c r="R27">
        <f>B10*'scoring matrix'!C12</f>
        <v>32</v>
      </c>
      <c r="S27">
        <f>C10*'scoring matrix'!D12</f>
        <v>12</v>
      </c>
      <c r="T27">
        <f>D10*'scoring matrix'!E12</f>
        <v>100</v>
      </c>
      <c r="U27">
        <f>E10*'scoring matrix'!F12</f>
        <v>0</v>
      </c>
      <c r="V27">
        <f>F10*'scoring matrix'!G12</f>
        <v>0</v>
      </c>
      <c r="W27">
        <f>G10*'scoring matrix'!H12</f>
        <v>933.75</v>
      </c>
      <c r="X27">
        <f>H10*'scoring matrix'!I12</f>
        <v>0</v>
      </c>
      <c r="Y27">
        <f>I10*'scoring matrix'!J12</f>
        <v>154</v>
      </c>
      <c r="Z27">
        <f>J10*'scoring matrix'!K12</f>
        <v>0</v>
      </c>
      <c r="AA27">
        <f>K10*'scoring matrix'!L12</f>
        <v>0</v>
      </c>
      <c r="AB27">
        <f>L10*'scoring matrix'!M12</f>
        <v>1024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ref="B28:M28" si="11">IFERROR(B11/SUM(B$2:B$13)*100,0)</f>
        <v>0.79481280066931603</v>
      </c>
      <c r="C28" s="7">
        <f t="shared" si="11"/>
        <v>0</v>
      </c>
      <c r="D28" s="7">
        <f t="shared" si="11"/>
        <v>0.47842058092124362</v>
      </c>
      <c r="E28" s="7">
        <f t="shared" si="11"/>
        <v>0</v>
      </c>
      <c r="F28" s="7">
        <f t="shared" si="11"/>
        <v>0</v>
      </c>
      <c r="G28" s="7">
        <f t="shared" si="11"/>
        <v>0.32640439786978181</v>
      </c>
      <c r="H28" s="7">
        <f t="shared" si="11"/>
        <v>0</v>
      </c>
      <c r="I28" s="7">
        <f t="shared" si="11"/>
        <v>0</v>
      </c>
      <c r="J28" s="7">
        <f t="shared" si="11"/>
        <v>0</v>
      </c>
      <c r="K28" s="7">
        <f t="shared" si="11"/>
        <v>55.70652173913043</v>
      </c>
      <c r="L28" s="7">
        <f t="shared" si="11"/>
        <v>0</v>
      </c>
      <c r="M28" s="7">
        <f t="shared" si="11"/>
        <v>0</v>
      </c>
      <c r="R28">
        <f>B11*'scoring matrix'!C13</f>
        <v>285</v>
      </c>
      <c r="S28">
        <f>C11*'scoring matrix'!D13</f>
        <v>0</v>
      </c>
      <c r="T28">
        <f>D11*'scoring matrix'!E13</f>
        <v>1042.25</v>
      </c>
      <c r="U28">
        <f>E11*'scoring matrix'!F13</f>
        <v>0</v>
      </c>
      <c r="V28">
        <f>F11*'scoring matrix'!G13</f>
        <v>0</v>
      </c>
      <c r="W28">
        <f>G11*'scoring matrix'!H13</f>
        <v>133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ref="B29:M29" si="12">IFERROR(B12/SUM(B$2:B$13)*100,0)</f>
        <v>0.12549675800041832</v>
      </c>
      <c r="C29" s="7">
        <f t="shared" si="12"/>
        <v>0.10464355788096795</v>
      </c>
      <c r="D29" s="7">
        <f t="shared" si="12"/>
        <v>3.1558085812746939E-2</v>
      </c>
      <c r="E29" s="7">
        <f t="shared" si="12"/>
        <v>0</v>
      </c>
      <c r="F29" s="7">
        <f t="shared" si="12"/>
        <v>0</v>
      </c>
      <c r="G29" s="7">
        <f t="shared" si="12"/>
        <v>0</v>
      </c>
      <c r="H29" s="7">
        <f t="shared" si="12"/>
        <v>0</v>
      </c>
      <c r="I29" s="7">
        <f t="shared" si="12"/>
        <v>0</v>
      </c>
      <c r="J29" s="7">
        <f t="shared" si="12"/>
        <v>0</v>
      </c>
      <c r="K29" s="7">
        <f t="shared" si="12"/>
        <v>0</v>
      </c>
      <c r="L29" s="7">
        <f t="shared" si="12"/>
        <v>34.280639431616336</v>
      </c>
      <c r="M29" s="7">
        <f t="shared" si="12"/>
        <v>0</v>
      </c>
      <c r="R29">
        <f>B12*'scoring matrix'!C14</f>
        <v>69.75</v>
      </c>
      <c r="S29">
        <f>C12*'scoring matrix'!D14</f>
        <v>30</v>
      </c>
      <c r="T29">
        <f>D12*'scoring matrix'!E14</f>
        <v>81.25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ref="B30:M30" si="13">IFERROR(B13/SUM(B$2:B$13)*100,0)</f>
        <v>0</v>
      </c>
      <c r="C30" s="7">
        <f t="shared" si="13"/>
        <v>0</v>
      </c>
      <c r="D30" s="7">
        <f t="shared" si="13"/>
        <v>0</v>
      </c>
      <c r="E30" s="7">
        <f t="shared" si="13"/>
        <v>0</v>
      </c>
      <c r="F30" s="7">
        <f t="shared" si="13"/>
        <v>0</v>
      </c>
      <c r="G30" s="7">
        <f t="shared" si="13"/>
        <v>0</v>
      </c>
      <c r="H30" s="7">
        <f t="shared" si="13"/>
        <v>0</v>
      </c>
      <c r="I30" s="7">
        <f t="shared" si="13"/>
        <v>0</v>
      </c>
      <c r="J30" s="7">
        <f t="shared" si="13"/>
        <v>0</v>
      </c>
      <c r="K30" s="7">
        <f t="shared" si="13"/>
        <v>0</v>
      </c>
      <c r="L30" s="7">
        <f t="shared" si="13"/>
        <v>0</v>
      </c>
      <c r="M30" s="7">
        <f t="shared" si="1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13">
      <colorScale>
        <cfvo type="num" val="0"/>
        <cfvo type="num" val="1"/>
        <color rgb="FFFF7128"/>
        <color theme="9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11">
      <colorScale>
        <cfvo type="num" val="0"/>
        <cfvo type="num" val="100"/>
        <color rgb="FFFFFBE7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7">
      <colorScale>
        <cfvo type="num" val="0"/>
        <cfvo type="num" val="12238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5">
      <colorScale>
        <cfvo type="num" val="0"/>
        <cfvo type="num" val="100"/>
        <color rgb="FFFFFBE7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M1">
    <cfRule type="colorScale" priority="3">
      <colorScale>
        <cfvo type="num" val="0"/>
        <cfvo type="num" val="1"/>
        <color rgb="FFFF7128"/>
        <color theme="9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colorScale" priority="1">
      <colorScale>
        <cfvo type="num" val="0"/>
        <cfvo type="num" val="1"/>
        <color rgb="FFFF7128"/>
        <color theme="9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23BE-9537-4F26-9366-46663730E822}">
  <dimension ref="A2:AE31"/>
  <sheetViews>
    <sheetView workbookViewId="0">
      <selection activeCell="R19" sqref="R19:AE30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10482</v>
      </c>
      <c r="C2" s="7">
        <v>1262</v>
      </c>
      <c r="D2" s="7">
        <v>2042</v>
      </c>
      <c r="E2" s="7">
        <v>6</v>
      </c>
      <c r="F2" s="7">
        <v>0</v>
      </c>
      <c r="G2" s="7">
        <v>253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8">
        <f>SUM(B2:M13)</f>
        <v>122397</v>
      </c>
      <c r="R2" s="7">
        <f>B2/$O$2*100</f>
        <v>8.5639353905732989</v>
      </c>
      <c r="S2" s="7">
        <f t="shared" ref="S2:AC13" si="0">C2/$O$2*100</f>
        <v>1.0310710229825895</v>
      </c>
      <c r="T2" s="7">
        <f t="shared" si="0"/>
        <v>1.6683415443188969</v>
      </c>
      <c r="U2" s="7">
        <f t="shared" si="0"/>
        <v>4.9020809333562097E-3</v>
      </c>
      <c r="V2" s="7">
        <f t="shared" si="0"/>
        <v>0</v>
      </c>
      <c r="W2" s="7">
        <f t="shared" si="0"/>
        <v>0.20670441268985351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0</v>
      </c>
      <c r="AC2" s="7">
        <f t="shared" si="0"/>
        <v>0</v>
      </c>
    </row>
    <row r="3" spans="2:29" x14ac:dyDescent="0.25">
      <c r="B3" s="7">
        <v>2414</v>
      </c>
      <c r="C3" s="7">
        <v>1461</v>
      </c>
      <c r="D3" s="7">
        <v>8226</v>
      </c>
      <c r="E3" s="7">
        <v>28</v>
      </c>
      <c r="F3" s="7">
        <v>0</v>
      </c>
      <c r="G3" s="7">
        <v>12</v>
      </c>
      <c r="H3" s="7">
        <v>0</v>
      </c>
      <c r="I3" s="7">
        <v>0</v>
      </c>
      <c r="J3" s="7">
        <v>0</v>
      </c>
      <c r="K3" s="7">
        <v>133</v>
      </c>
      <c r="L3" s="7">
        <v>9</v>
      </c>
      <c r="M3" s="7">
        <v>0</v>
      </c>
      <c r="R3" s="7">
        <f t="shared" ref="R3:R13" si="1">B3/$O$2*100</f>
        <v>1.9722705621869816</v>
      </c>
      <c r="S3" s="7">
        <f t="shared" si="0"/>
        <v>1.193656707272237</v>
      </c>
      <c r="T3" s="7">
        <f t="shared" si="0"/>
        <v>6.7207529596313638</v>
      </c>
      <c r="U3" s="7">
        <f t="shared" si="0"/>
        <v>2.2876377688995645E-2</v>
      </c>
      <c r="V3" s="7">
        <f t="shared" si="0"/>
        <v>0</v>
      </c>
      <c r="W3" s="7">
        <f t="shared" si="0"/>
        <v>9.8041618667124193E-3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0.10866279402272931</v>
      </c>
      <c r="AB3" s="7">
        <f t="shared" si="0"/>
        <v>7.3531214000343145E-3</v>
      </c>
      <c r="AC3" s="7">
        <f t="shared" si="0"/>
        <v>0</v>
      </c>
    </row>
    <row r="4" spans="2:29" x14ac:dyDescent="0.25">
      <c r="B4" s="7">
        <v>279</v>
      </c>
      <c r="C4" s="7">
        <v>408</v>
      </c>
      <c r="D4" s="7">
        <v>70319</v>
      </c>
      <c r="E4" s="7">
        <v>389</v>
      </c>
      <c r="F4" s="7">
        <v>0</v>
      </c>
      <c r="G4" s="7">
        <v>338</v>
      </c>
      <c r="H4" s="7">
        <v>0</v>
      </c>
      <c r="I4" s="7">
        <v>3</v>
      </c>
      <c r="J4" s="7">
        <v>7</v>
      </c>
      <c r="K4" s="7">
        <v>70</v>
      </c>
      <c r="L4" s="7">
        <v>14</v>
      </c>
      <c r="M4" s="7">
        <v>0</v>
      </c>
      <c r="R4" s="7">
        <f t="shared" si="1"/>
        <v>0.22794676340106376</v>
      </c>
      <c r="S4" s="7">
        <f t="shared" si="0"/>
        <v>0.33334150346822228</v>
      </c>
      <c r="T4" s="7">
        <f>D4/$O$2*100</f>
        <v>57.451571525445885</v>
      </c>
      <c r="U4" s="7">
        <f t="shared" si="0"/>
        <v>0.31781824717926094</v>
      </c>
      <c r="V4" s="7">
        <f t="shared" si="0"/>
        <v>0</v>
      </c>
      <c r="W4" s="7">
        <f t="shared" si="0"/>
        <v>0.27615055924573317</v>
      </c>
      <c r="X4" s="7">
        <f t="shared" si="0"/>
        <v>0</v>
      </c>
      <c r="Y4" s="7">
        <f t="shared" si="0"/>
        <v>2.4510404666781048E-3</v>
      </c>
      <c r="Z4" s="7">
        <f t="shared" si="0"/>
        <v>5.7190944222489113E-3</v>
      </c>
      <c r="AA4" s="7">
        <f t="shared" si="0"/>
        <v>5.7190944222489118E-2</v>
      </c>
      <c r="AB4" s="7">
        <f t="shared" si="0"/>
        <v>1.1438188844497823E-2</v>
      </c>
      <c r="AC4" s="7">
        <f t="shared" si="0"/>
        <v>0</v>
      </c>
    </row>
    <row r="5" spans="2:29" x14ac:dyDescent="0.25">
      <c r="B5" s="7">
        <v>37</v>
      </c>
      <c r="C5" s="7">
        <v>281</v>
      </c>
      <c r="D5" s="7">
        <v>1887</v>
      </c>
      <c r="E5" s="7">
        <v>864</v>
      </c>
      <c r="F5" s="7">
        <v>0</v>
      </c>
      <c r="G5" s="7">
        <v>1326</v>
      </c>
      <c r="H5" s="7">
        <v>0</v>
      </c>
      <c r="I5" s="7">
        <v>0</v>
      </c>
      <c r="J5" s="7">
        <v>1</v>
      </c>
      <c r="K5" s="7">
        <v>0</v>
      </c>
      <c r="L5" s="7">
        <v>0</v>
      </c>
      <c r="M5" s="7">
        <v>0</v>
      </c>
      <c r="R5" s="7">
        <f t="shared" si="1"/>
        <v>3.022949908902996E-2</v>
      </c>
      <c r="S5" s="7">
        <f t="shared" si="0"/>
        <v>0.22958079037884915</v>
      </c>
      <c r="T5" s="7">
        <f t="shared" si="0"/>
        <v>1.5417044535405278</v>
      </c>
      <c r="U5" s="7">
        <f t="shared" si="0"/>
        <v>0.70589965440329416</v>
      </c>
      <c r="V5" s="7">
        <f t="shared" si="0"/>
        <v>0</v>
      </c>
      <c r="W5" s="7">
        <f t="shared" si="0"/>
        <v>1.0833598862717224</v>
      </c>
      <c r="X5" s="7">
        <f t="shared" si="0"/>
        <v>0</v>
      </c>
      <c r="Y5" s="7">
        <f t="shared" si="0"/>
        <v>0</v>
      </c>
      <c r="Z5" s="7">
        <f t="shared" si="0"/>
        <v>8.1701348889270172E-4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2:29" x14ac:dyDescent="0.25">
      <c r="B6" s="7">
        <v>4</v>
      </c>
      <c r="C6" s="7">
        <v>0</v>
      </c>
      <c r="D6" s="7">
        <v>233</v>
      </c>
      <c r="E6" s="7">
        <v>6</v>
      </c>
      <c r="F6" s="7">
        <v>18</v>
      </c>
      <c r="G6" s="7">
        <v>15</v>
      </c>
      <c r="H6" s="7">
        <v>0</v>
      </c>
      <c r="I6" s="7">
        <v>0</v>
      </c>
      <c r="J6" s="7">
        <v>11</v>
      </c>
      <c r="K6" s="7">
        <v>0</v>
      </c>
      <c r="L6" s="7">
        <v>0</v>
      </c>
      <c r="M6" s="7">
        <v>0</v>
      </c>
      <c r="R6" s="7">
        <f t="shared" si="1"/>
        <v>3.2680539555708069E-3</v>
      </c>
      <c r="S6" s="7">
        <f t="shared" si="0"/>
        <v>0</v>
      </c>
      <c r="T6" s="7">
        <f t="shared" si="0"/>
        <v>0.19036414291199946</v>
      </c>
      <c r="U6" s="7">
        <f t="shared" si="0"/>
        <v>4.9020809333562097E-3</v>
      </c>
      <c r="V6" s="7">
        <f t="shared" si="0"/>
        <v>1.4706242800068629E-2</v>
      </c>
      <c r="W6" s="7">
        <f t="shared" si="0"/>
        <v>1.2255202333390523E-2</v>
      </c>
      <c r="X6" s="7">
        <f t="shared" si="0"/>
        <v>0</v>
      </c>
      <c r="Y6" s="7">
        <f t="shared" si="0"/>
        <v>0</v>
      </c>
      <c r="Z6" s="7">
        <f t="shared" si="0"/>
        <v>8.9871483778197186E-3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2:29" x14ac:dyDescent="0.25">
      <c r="B7" s="7">
        <v>576</v>
      </c>
      <c r="C7" s="7">
        <v>92</v>
      </c>
      <c r="D7" s="7">
        <v>1422</v>
      </c>
      <c r="E7" s="7">
        <v>325</v>
      </c>
      <c r="F7" s="7">
        <v>0</v>
      </c>
      <c r="G7" s="7">
        <v>5887</v>
      </c>
      <c r="H7" s="7">
        <v>0</v>
      </c>
      <c r="I7" s="7">
        <v>0</v>
      </c>
      <c r="J7" s="7">
        <v>39</v>
      </c>
      <c r="K7" s="7">
        <v>33</v>
      </c>
      <c r="L7" s="7">
        <v>0</v>
      </c>
      <c r="M7" s="7">
        <v>0</v>
      </c>
      <c r="R7" s="7">
        <f t="shared" si="1"/>
        <v>0.47059976960219613</v>
      </c>
      <c r="S7" s="7">
        <f t="shared" si="0"/>
        <v>7.5165240978128545E-2</v>
      </c>
      <c r="T7" s="7">
        <f t="shared" si="0"/>
        <v>1.1617931812054216</v>
      </c>
      <c r="U7" s="7">
        <f t="shared" si="0"/>
        <v>0.26552938389012803</v>
      </c>
      <c r="V7" s="7">
        <f t="shared" si="0"/>
        <v>0</v>
      </c>
      <c r="W7" s="7">
        <f t="shared" si="0"/>
        <v>4.8097584091113346</v>
      </c>
      <c r="X7" s="7">
        <f t="shared" si="0"/>
        <v>0</v>
      </c>
      <c r="Y7" s="7">
        <f t="shared" si="0"/>
        <v>0</v>
      </c>
      <c r="Z7" s="7">
        <f t="shared" si="0"/>
        <v>3.1863526066815362E-2</v>
      </c>
      <c r="AA7" s="7">
        <f t="shared" si="0"/>
        <v>2.6961445133459154E-2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231</v>
      </c>
      <c r="C8" s="7">
        <v>0</v>
      </c>
      <c r="D8" s="7">
        <v>12</v>
      </c>
      <c r="E8" s="7">
        <v>1</v>
      </c>
      <c r="F8" s="7">
        <v>0</v>
      </c>
      <c r="G8" s="7">
        <v>2661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0.18873011593421407</v>
      </c>
      <c r="S8" s="7">
        <f t="shared" si="0"/>
        <v>0</v>
      </c>
      <c r="T8" s="7">
        <f t="shared" si="0"/>
        <v>9.8041618667124193E-3</v>
      </c>
      <c r="U8" s="7">
        <f t="shared" si="0"/>
        <v>8.1701348889270172E-4</v>
      </c>
      <c r="V8" s="7">
        <f t="shared" si="0"/>
        <v>0</v>
      </c>
      <c r="W8" s="7">
        <f t="shared" si="0"/>
        <v>2.174072893943479</v>
      </c>
      <c r="X8" s="7">
        <f t="shared" si="0"/>
        <v>0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16</v>
      </c>
      <c r="C9" s="7">
        <v>0</v>
      </c>
      <c r="D9" s="7">
        <v>107</v>
      </c>
      <c r="E9" s="7">
        <v>0</v>
      </c>
      <c r="F9" s="7">
        <v>0</v>
      </c>
      <c r="G9" s="7">
        <v>12</v>
      </c>
      <c r="H9" s="7">
        <v>0</v>
      </c>
      <c r="I9" s="7">
        <v>6363</v>
      </c>
      <c r="J9" s="7">
        <v>0</v>
      </c>
      <c r="K9" s="7">
        <v>0</v>
      </c>
      <c r="L9" s="7">
        <v>0</v>
      </c>
      <c r="M9" s="7">
        <v>0</v>
      </c>
      <c r="R9" s="7">
        <f t="shared" si="1"/>
        <v>1.3072215822283227E-2</v>
      </c>
      <c r="S9" s="7">
        <f t="shared" si="0"/>
        <v>0</v>
      </c>
      <c r="T9" s="7">
        <f t="shared" si="0"/>
        <v>8.7420443311519075E-2</v>
      </c>
      <c r="U9" s="7">
        <f t="shared" si="0"/>
        <v>0</v>
      </c>
      <c r="V9" s="7">
        <f t="shared" si="0"/>
        <v>0</v>
      </c>
      <c r="W9" s="7">
        <f t="shared" si="0"/>
        <v>9.8041618667124193E-3</v>
      </c>
      <c r="X9" s="7">
        <f t="shared" si="0"/>
        <v>0</v>
      </c>
      <c r="Y9" s="7">
        <f t="shared" si="0"/>
        <v>5.1986568298242597</v>
      </c>
      <c r="Z9" s="7">
        <f t="shared" si="0"/>
        <v>0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12</v>
      </c>
      <c r="C10" s="7">
        <v>0</v>
      </c>
      <c r="D10" s="7">
        <v>40</v>
      </c>
      <c r="E10" s="7">
        <v>0</v>
      </c>
      <c r="F10" s="7">
        <v>77</v>
      </c>
      <c r="G10" s="7">
        <v>79</v>
      </c>
      <c r="H10" s="7">
        <v>0</v>
      </c>
      <c r="I10" s="7">
        <v>65</v>
      </c>
      <c r="J10" s="7">
        <v>324</v>
      </c>
      <c r="K10" s="7">
        <v>0</v>
      </c>
      <c r="L10" s="7">
        <v>0</v>
      </c>
      <c r="M10" s="7">
        <v>0</v>
      </c>
      <c r="R10" s="7">
        <f t="shared" si="1"/>
        <v>9.8041618667124193E-3</v>
      </c>
      <c r="S10" s="7">
        <f t="shared" si="0"/>
        <v>0</v>
      </c>
      <c r="T10" s="7">
        <f t="shared" si="0"/>
        <v>3.2680539555708064E-2</v>
      </c>
      <c r="U10" s="7">
        <f t="shared" si="0"/>
        <v>0</v>
      </c>
      <c r="V10" s="7">
        <f t="shared" si="0"/>
        <v>6.2910038644738028E-2</v>
      </c>
      <c r="W10" s="7">
        <f t="shared" si="0"/>
        <v>6.4544065622523419E-2</v>
      </c>
      <c r="X10" s="7">
        <f t="shared" si="0"/>
        <v>0</v>
      </c>
      <c r="Y10" s="7">
        <f t="shared" si="0"/>
        <v>5.3105876778025612E-2</v>
      </c>
      <c r="Z10" s="7">
        <f t="shared" si="0"/>
        <v>0.2647123704012353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12</v>
      </c>
      <c r="C11" s="7">
        <v>0</v>
      </c>
      <c r="D11" s="7">
        <v>496</v>
      </c>
      <c r="E11" s="7">
        <v>0</v>
      </c>
      <c r="F11" s="7">
        <v>0</v>
      </c>
      <c r="G11" s="7">
        <v>16</v>
      </c>
      <c r="H11" s="7">
        <v>0</v>
      </c>
      <c r="I11" s="7">
        <v>0</v>
      </c>
      <c r="J11" s="7">
        <v>0</v>
      </c>
      <c r="K11" s="7">
        <v>417</v>
      </c>
      <c r="L11" s="7">
        <v>0</v>
      </c>
      <c r="M11" s="7">
        <v>0</v>
      </c>
      <c r="R11" s="7">
        <f t="shared" si="1"/>
        <v>9.8041618667124193E-3</v>
      </c>
      <c r="S11" s="7">
        <f t="shared" si="0"/>
        <v>0</v>
      </c>
      <c r="T11" s="7">
        <f t="shared" si="0"/>
        <v>0.40523869049078004</v>
      </c>
      <c r="U11" s="7">
        <f t="shared" si="0"/>
        <v>0</v>
      </c>
      <c r="V11" s="7">
        <f t="shared" si="0"/>
        <v>0</v>
      </c>
      <c r="W11" s="7">
        <f t="shared" si="0"/>
        <v>1.3072215822283227E-2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0.34069462486825658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21</v>
      </c>
      <c r="C12" s="7">
        <v>4</v>
      </c>
      <c r="D12" s="7">
        <v>62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157</v>
      </c>
      <c r="M12" s="7">
        <v>0</v>
      </c>
      <c r="R12" s="7">
        <f t="shared" si="1"/>
        <v>1.7157283266746731E-2</v>
      </c>
      <c r="S12" s="7">
        <f t="shared" si="0"/>
        <v>3.2680539555708069E-3</v>
      </c>
      <c r="T12" s="7">
        <f t="shared" si="0"/>
        <v>5.0654836311347505E-2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0.12827111775615416</v>
      </c>
      <c r="AC12" s="7">
        <f t="shared" si="0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6" spans="2:29" x14ac:dyDescent="0.25">
      <c r="B16" t="s">
        <v>26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74.424879295654648</v>
      </c>
      <c r="C19" s="7">
        <f t="shared" ref="C19:M19" si="2">IFERROR(C2/SUM(C$2:C$13)*100,0)</f>
        <v>35.974914481185863</v>
      </c>
      <c r="D19" s="7">
        <f t="shared" si="2"/>
        <v>2.4067133394620845</v>
      </c>
      <c r="E19" s="7">
        <f t="shared" si="2"/>
        <v>0.37059913526868438</v>
      </c>
      <c r="F19" s="7">
        <f t="shared" si="2"/>
        <v>0</v>
      </c>
      <c r="G19" s="7">
        <f t="shared" si="2"/>
        <v>2.3870176431738841</v>
      </c>
      <c r="H19" s="7">
        <f t="shared" si="2"/>
        <v>0</v>
      </c>
      <c r="I19" s="7">
        <f t="shared" si="2"/>
        <v>0</v>
      </c>
      <c r="J19" s="7">
        <f t="shared" si="2"/>
        <v>0</v>
      </c>
      <c r="K19" s="7">
        <f t="shared" si="2"/>
        <v>0</v>
      </c>
      <c r="L19" s="7">
        <f t="shared" si="2"/>
        <v>0</v>
      </c>
      <c r="M19" s="7">
        <f t="shared" si="2"/>
        <v>0</v>
      </c>
      <c r="R19">
        <f>B2*'scoring matrix'!C4</f>
        <v>0</v>
      </c>
      <c r="S19">
        <f>C2*'scoring matrix'!D4</f>
        <v>2524</v>
      </c>
      <c r="T19">
        <f>D2*'scoring matrix'!E4</f>
        <v>7147</v>
      </c>
      <c r="U19">
        <f>E2*'scoring matrix'!F4</f>
        <v>18</v>
      </c>
      <c r="V19">
        <f>F2*'scoring matrix'!G4</f>
        <v>0</v>
      </c>
      <c r="W19">
        <f>G2*'scoring matrix'!H4</f>
        <v>885.5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0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17.140017040613461</v>
      </c>
      <c r="C20" s="7">
        <f t="shared" si="3"/>
        <v>41.647662485746864</v>
      </c>
      <c r="D20" s="7">
        <f t="shared" si="3"/>
        <v>9.695212502651863</v>
      </c>
      <c r="E20" s="7">
        <f t="shared" si="3"/>
        <v>1.7294626312538603</v>
      </c>
      <c r="F20" s="7">
        <f t="shared" si="3"/>
        <v>0</v>
      </c>
      <c r="G20" s="7">
        <f t="shared" si="3"/>
        <v>0.11321822813472968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20.367534456355283</v>
      </c>
      <c r="L20" s="7">
        <f t="shared" si="3"/>
        <v>5</v>
      </c>
      <c r="M20" s="7">
        <f t="shared" si="3"/>
        <v>0</v>
      </c>
      <c r="R20">
        <f>B3*'scoring matrix'!C5</f>
        <v>4828</v>
      </c>
      <c r="S20">
        <f>C3*'scoring matrix'!D5</f>
        <v>0</v>
      </c>
      <c r="T20">
        <f>D3*'scoring matrix'!E5</f>
        <v>19536.75</v>
      </c>
      <c r="U20">
        <f>E3*'scoring matrix'!F5</f>
        <v>77</v>
      </c>
      <c r="V20">
        <f>F3*'scoring matrix'!G5</f>
        <v>0</v>
      </c>
      <c r="W20">
        <f>G3*'scoring matrix'!H5</f>
        <v>45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399</v>
      </c>
      <c r="AB20">
        <f>L3*'scoring matrix'!M5</f>
        <v>33.75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1.9809713149673387</v>
      </c>
      <c r="C21" s="7">
        <f t="shared" si="3"/>
        <v>11.630558722919043</v>
      </c>
      <c r="D21" s="7">
        <f t="shared" si="3"/>
        <v>82.878391438606414</v>
      </c>
      <c r="E21" s="7">
        <f t="shared" si="3"/>
        <v>24.027177269919704</v>
      </c>
      <c r="F21" s="7">
        <f t="shared" si="3"/>
        <v>0</v>
      </c>
      <c r="G21" s="7">
        <f t="shared" si="3"/>
        <v>3.1889800924615535</v>
      </c>
      <c r="H21" s="7">
        <f t="shared" si="3"/>
        <v>0</v>
      </c>
      <c r="I21" s="7">
        <f t="shared" si="3"/>
        <v>4.6649043694604264E-2</v>
      </c>
      <c r="J21" s="7">
        <f t="shared" si="3"/>
        <v>1.832460732984293</v>
      </c>
      <c r="K21" s="7">
        <f t="shared" si="3"/>
        <v>10.719754977029096</v>
      </c>
      <c r="L21" s="7">
        <f t="shared" si="3"/>
        <v>7.7777777777777777</v>
      </c>
      <c r="M21" s="7">
        <f t="shared" si="3"/>
        <v>0</v>
      </c>
      <c r="R21">
        <f>B4*'scoring matrix'!C6</f>
        <v>976.5</v>
      </c>
      <c r="S21">
        <f>C4*'scoring matrix'!D6</f>
        <v>969</v>
      </c>
      <c r="T21">
        <f>D4*'scoring matrix'!E6</f>
        <v>0</v>
      </c>
      <c r="U21">
        <f>E4*'scoring matrix'!F6</f>
        <v>778</v>
      </c>
      <c r="V21">
        <f>F4*'scoring matrix'!G6</f>
        <v>0</v>
      </c>
      <c r="W21">
        <f>G4*'scoring matrix'!H6</f>
        <v>1183</v>
      </c>
      <c r="X21">
        <f>H4*'scoring matrix'!I6</f>
        <v>0</v>
      </c>
      <c r="Y21">
        <f>I4*'scoring matrix'!J6</f>
        <v>12</v>
      </c>
      <c r="Z21">
        <f>J4*'scoring matrix'!K6</f>
        <v>28</v>
      </c>
      <c r="AA21">
        <f>K4*'scoring matrix'!L6</f>
        <v>192.5</v>
      </c>
      <c r="AB21">
        <f>L4*'scoring matrix'!M6</f>
        <v>45.5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0.26270945754047148</v>
      </c>
      <c r="C22" s="7">
        <f t="shared" si="3"/>
        <v>8.0102622576966933</v>
      </c>
      <c r="D22" s="7">
        <f t="shared" si="3"/>
        <v>2.2240294180043847</v>
      </c>
      <c r="E22" s="7">
        <f t="shared" si="3"/>
        <v>53.366275478690554</v>
      </c>
      <c r="F22" s="7">
        <f t="shared" si="3"/>
        <v>0</v>
      </c>
      <c r="G22" s="7">
        <f t="shared" si="3"/>
        <v>12.510614208887629</v>
      </c>
      <c r="H22" s="7">
        <f t="shared" si="3"/>
        <v>0</v>
      </c>
      <c r="I22" s="7">
        <f t="shared" si="3"/>
        <v>0</v>
      </c>
      <c r="J22" s="7">
        <f t="shared" si="3"/>
        <v>0.26178010471204188</v>
      </c>
      <c r="K22" s="7">
        <f t="shared" si="3"/>
        <v>0</v>
      </c>
      <c r="L22" s="7">
        <f t="shared" si="3"/>
        <v>0</v>
      </c>
      <c r="M22" s="7">
        <f t="shared" si="3"/>
        <v>0</v>
      </c>
      <c r="R22">
        <f>B5*'scoring matrix'!C7</f>
        <v>111</v>
      </c>
      <c r="S22">
        <f>C5*'scoring matrix'!D7</f>
        <v>772.75</v>
      </c>
      <c r="T22">
        <f>D5*'scoring matrix'!E7</f>
        <v>3774</v>
      </c>
      <c r="U22">
        <f>E5*'scoring matrix'!F7</f>
        <v>0</v>
      </c>
      <c r="V22">
        <f>F5*'scoring matrix'!G7</f>
        <v>0</v>
      </c>
      <c r="W22">
        <f>G5*'scoring matrix'!H7</f>
        <v>2652</v>
      </c>
      <c r="X22">
        <f>H5*'scoring matrix'!I7</f>
        <v>0</v>
      </c>
      <c r="Y22">
        <f>I5*'scoring matrix'!J7</f>
        <v>0</v>
      </c>
      <c r="Z22">
        <f>J5*'scoring matrix'!K7</f>
        <v>4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2.8401022436807723E-2</v>
      </c>
      <c r="C23" s="7">
        <f t="shared" si="3"/>
        <v>0</v>
      </c>
      <c r="D23" s="7">
        <f t="shared" si="3"/>
        <v>0.27461518515899391</v>
      </c>
      <c r="E23" s="7">
        <f t="shared" si="3"/>
        <v>0.37059913526868438</v>
      </c>
      <c r="F23" s="7">
        <f t="shared" si="3"/>
        <v>18.947368421052634</v>
      </c>
      <c r="G23" s="7">
        <f t="shared" si="3"/>
        <v>0.1415227851684121</v>
      </c>
      <c r="H23" s="7">
        <f t="shared" si="3"/>
        <v>0</v>
      </c>
      <c r="I23" s="7">
        <f t="shared" si="3"/>
        <v>0</v>
      </c>
      <c r="J23" s="7">
        <f t="shared" si="3"/>
        <v>2.8795811518324608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15</v>
      </c>
      <c r="S23">
        <f>C6*'scoring matrix'!D8</f>
        <v>0</v>
      </c>
      <c r="T23">
        <f>D6*'scoring matrix'!E8</f>
        <v>815.5</v>
      </c>
      <c r="U23">
        <f>E6*'scoring matrix'!F8</f>
        <v>15</v>
      </c>
      <c r="V23">
        <f>F6*'scoring matrix'!G8</f>
        <v>0</v>
      </c>
      <c r="W23">
        <f>G6*'scoring matrix'!H8</f>
        <v>39.375</v>
      </c>
      <c r="X23">
        <f>H6*'scoring matrix'!I8</f>
        <v>0</v>
      </c>
      <c r="Y23">
        <f>I6*'scoring matrix'!J8</f>
        <v>0</v>
      </c>
      <c r="Z23">
        <f>J6*'scoring matrix'!K8</f>
        <v>35.75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4.0897472309003122</v>
      </c>
      <c r="C24" s="7">
        <f t="shared" si="3"/>
        <v>2.6225769669327255</v>
      </c>
      <c r="D24" s="7">
        <f t="shared" si="3"/>
        <v>1.6759776536312849</v>
      </c>
      <c r="E24" s="7">
        <f t="shared" si="3"/>
        <v>20.074119827053739</v>
      </c>
      <c r="F24" s="7">
        <f t="shared" si="3"/>
        <v>0</v>
      </c>
      <c r="G24" s="7">
        <f t="shared" si="3"/>
        <v>55.542975752429477</v>
      </c>
      <c r="H24" s="7">
        <f t="shared" si="3"/>
        <v>0</v>
      </c>
      <c r="I24" s="7">
        <f t="shared" si="3"/>
        <v>0</v>
      </c>
      <c r="J24" s="7">
        <f t="shared" si="3"/>
        <v>10.209424083769633</v>
      </c>
      <c r="K24" s="7">
        <f t="shared" si="3"/>
        <v>5.0535987748851454</v>
      </c>
      <c r="L24" s="7">
        <f t="shared" si="3"/>
        <v>0</v>
      </c>
      <c r="M24" s="7">
        <f t="shared" si="3"/>
        <v>0</v>
      </c>
      <c r="P24" s="2"/>
      <c r="R24">
        <f>B7*'scoring matrix'!C9</f>
        <v>2016</v>
      </c>
      <c r="S24">
        <f>C7*'scoring matrix'!D9</f>
        <v>345</v>
      </c>
      <c r="T24">
        <f>D7*'scoring matrix'!E9</f>
        <v>4977</v>
      </c>
      <c r="U24">
        <f>E7*'scoring matrix'!F9</f>
        <v>650</v>
      </c>
      <c r="V24">
        <f>F7*'scoring matrix'!G9</f>
        <v>0</v>
      </c>
      <c r="W24">
        <f>G7*'scoring matrix'!H9</f>
        <v>0</v>
      </c>
      <c r="X24">
        <f>H7*'scoring matrix'!I9</f>
        <v>0</v>
      </c>
      <c r="Y24">
        <f>I7*'scoring matrix'!J9</f>
        <v>0</v>
      </c>
      <c r="Z24">
        <f>J7*'scoring matrix'!K9</f>
        <v>146.25</v>
      </c>
      <c r="AA24">
        <f>K7*'scoring matrix'!L9</f>
        <v>115.5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1.6401590457256463</v>
      </c>
      <c r="C25" s="7">
        <f t="shared" si="3"/>
        <v>0</v>
      </c>
      <c r="D25" s="7">
        <f t="shared" si="3"/>
        <v>1.4143271338660631E-2</v>
      </c>
      <c r="E25" s="7">
        <f t="shared" si="3"/>
        <v>6.1766522544780732E-2</v>
      </c>
      <c r="F25" s="7">
        <f t="shared" si="3"/>
        <v>0</v>
      </c>
      <c r="G25" s="7">
        <f t="shared" si="3"/>
        <v>25.106142088876311</v>
      </c>
      <c r="H25" s="7">
        <f t="shared" si="3"/>
        <v>0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808.5</v>
      </c>
      <c r="S25">
        <f>C8*'scoring matrix'!D10</f>
        <v>0</v>
      </c>
      <c r="T25">
        <f>D8*'scoring matrix'!E10</f>
        <v>45</v>
      </c>
      <c r="U25">
        <f>E8*'scoring matrix'!F10</f>
        <v>2.25</v>
      </c>
      <c r="V25">
        <f>F8*'scoring matrix'!G10</f>
        <v>0</v>
      </c>
      <c r="W25">
        <f>G8*'scoring matrix'!H10</f>
        <v>3658.875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63898.375</v>
      </c>
    </row>
    <row r="26" spans="1:31" ht="23.25" customHeight="1" x14ac:dyDescent="0.25">
      <c r="A26" s="3" t="s">
        <v>7</v>
      </c>
      <c r="B26" s="7">
        <f t="shared" si="3"/>
        <v>0.11360408974723089</v>
      </c>
      <c r="C26" s="7">
        <f t="shared" si="3"/>
        <v>0</v>
      </c>
      <c r="D26" s="7">
        <f t="shared" si="3"/>
        <v>0.12611083610305729</v>
      </c>
      <c r="E26" s="7">
        <f t="shared" si="3"/>
        <v>0</v>
      </c>
      <c r="F26" s="7">
        <f t="shared" si="3"/>
        <v>0</v>
      </c>
      <c r="G26" s="7">
        <f t="shared" si="3"/>
        <v>0.11321822813472968</v>
      </c>
      <c r="H26" s="7">
        <f t="shared" si="3"/>
        <v>0</v>
      </c>
      <c r="I26" s="7">
        <f t="shared" si="3"/>
        <v>98.942621676255641</v>
      </c>
      <c r="J26" s="7">
        <f t="shared" si="3"/>
        <v>0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64</v>
      </c>
      <c r="S26">
        <f>C9*'scoring matrix'!D11</f>
        <v>0</v>
      </c>
      <c r="T26">
        <f>D9*'scoring matrix'!E11</f>
        <v>428</v>
      </c>
      <c r="U26">
        <f>E9*'scoring matrix'!F11</f>
        <v>0</v>
      </c>
      <c r="V26">
        <f>F9*'scoring matrix'!G11</f>
        <v>0</v>
      </c>
      <c r="W26">
        <f>G9*'scoring matrix'!H11</f>
        <v>48</v>
      </c>
      <c r="X26">
        <f>H9*'scoring matrix'!I11</f>
        <v>0</v>
      </c>
      <c r="Y26">
        <f>I9*'scoring matrix'!J11</f>
        <v>0</v>
      </c>
      <c r="Z26">
        <f>J9*'scoring matrix'!K11</f>
        <v>0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8.5203067310423181E-2</v>
      </c>
      <c r="C27" s="7">
        <f t="shared" si="3"/>
        <v>0</v>
      </c>
      <c r="D27" s="7">
        <f t="shared" si="3"/>
        <v>4.7144237795535435E-2</v>
      </c>
      <c r="E27" s="7">
        <f t="shared" si="3"/>
        <v>0</v>
      </c>
      <c r="F27" s="7">
        <f t="shared" si="3"/>
        <v>81.05263157894737</v>
      </c>
      <c r="G27" s="7">
        <f t="shared" si="3"/>
        <v>0.74535333522030378</v>
      </c>
      <c r="H27" s="7">
        <f t="shared" si="3"/>
        <v>0</v>
      </c>
      <c r="I27" s="7">
        <f t="shared" si="3"/>
        <v>1.0107292800497591</v>
      </c>
      <c r="J27" s="7">
        <f t="shared" si="3"/>
        <v>84.816753926701566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48</v>
      </c>
      <c r="S27">
        <f>C10*'scoring matrix'!D12</f>
        <v>0</v>
      </c>
      <c r="T27">
        <f>D10*'scoring matrix'!E12</f>
        <v>160</v>
      </c>
      <c r="U27">
        <f>E10*'scoring matrix'!F12</f>
        <v>0</v>
      </c>
      <c r="V27">
        <f>F10*'scoring matrix'!G12</f>
        <v>250.25</v>
      </c>
      <c r="W27">
        <f>G10*'scoring matrix'!H12</f>
        <v>296.25</v>
      </c>
      <c r="X27">
        <f>H10*'scoring matrix'!I12</f>
        <v>0</v>
      </c>
      <c r="Y27">
        <f>I10*'scoring matrix'!J12</f>
        <v>178.75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8.5203067310423181E-2</v>
      </c>
      <c r="C28" s="7">
        <f t="shared" si="3"/>
        <v>0</v>
      </c>
      <c r="D28" s="7">
        <f t="shared" si="3"/>
        <v>0.5845885486646395</v>
      </c>
      <c r="E28" s="7">
        <f t="shared" si="3"/>
        <v>0</v>
      </c>
      <c r="F28" s="7">
        <f t="shared" si="3"/>
        <v>0</v>
      </c>
      <c r="G28" s="7">
        <f t="shared" si="3"/>
        <v>0.15095763751297292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63.85911179173047</v>
      </c>
      <c r="L28" s="7">
        <f t="shared" si="3"/>
        <v>0</v>
      </c>
      <c r="M28" s="7">
        <f t="shared" si="3"/>
        <v>0</v>
      </c>
      <c r="R28">
        <f>B11*'scoring matrix'!C13</f>
        <v>30</v>
      </c>
      <c r="S28">
        <f>C11*'scoring matrix'!D13</f>
        <v>0</v>
      </c>
      <c r="T28">
        <f>D11*'scoring matrix'!E13</f>
        <v>1364</v>
      </c>
      <c r="U28">
        <f>E11*'scoring matrix'!F13</f>
        <v>0</v>
      </c>
      <c r="V28">
        <f>F11*'scoring matrix'!G13</f>
        <v>0</v>
      </c>
      <c r="W28">
        <f>G11*'scoring matrix'!H13</f>
        <v>56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0.14910536779324055</v>
      </c>
      <c r="C29" s="7">
        <f t="shared" si="3"/>
        <v>0.11402508551881414</v>
      </c>
      <c r="D29" s="7">
        <f t="shared" si="3"/>
        <v>7.3073568583079937E-2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87.222222222222229</v>
      </c>
      <c r="M29" s="7">
        <f t="shared" si="3"/>
        <v>0</v>
      </c>
      <c r="R29">
        <f>B12*'scoring matrix'!C14</f>
        <v>81.375</v>
      </c>
      <c r="S29">
        <f>C12*'scoring matrix'!D14</f>
        <v>15</v>
      </c>
      <c r="T29">
        <f>D12*'scoring matrix'!E14</f>
        <v>201.5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3A2C-43F8-474A-8CAC-6EEE26F444E4}">
  <dimension ref="A1:AE31"/>
  <sheetViews>
    <sheetView workbookViewId="0">
      <selection activeCell="O15" sqref="O15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1" spans="1:29" ht="127.5" x14ac:dyDescent="0.25">
      <c r="B1" s="5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  <c r="I1" s="6" t="s">
        <v>20</v>
      </c>
      <c r="J1" s="6" t="s">
        <v>21</v>
      </c>
      <c r="K1" s="6" t="s">
        <v>22</v>
      </c>
      <c r="L1" s="6" t="s">
        <v>23</v>
      </c>
      <c r="M1" s="6" t="s">
        <v>24</v>
      </c>
    </row>
    <row r="2" spans="1:29" x14ac:dyDescent="0.25">
      <c r="A2" t="s">
        <v>25</v>
      </c>
      <c r="B2" s="7">
        <v>11123</v>
      </c>
      <c r="C2" s="7">
        <v>1416</v>
      </c>
      <c r="D2" s="7">
        <v>1187</v>
      </c>
      <c r="E2" s="7">
        <v>218</v>
      </c>
      <c r="F2" s="7">
        <v>0</v>
      </c>
      <c r="G2" s="7">
        <v>100</v>
      </c>
      <c r="H2" s="7">
        <v>0</v>
      </c>
      <c r="I2" s="7">
        <v>1</v>
      </c>
      <c r="J2" s="7">
        <v>0</v>
      </c>
      <c r="K2" s="7">
        <v>0</v>
      </c>
      <c r="L2" s="7">
        <v>0</v>
      </c>
      <c r="M2" s="7">
        <v>0</v>
      </c>
      <c r="O2" s="8">
        <f>SUM(B2:M13)</f>
        <v>122397</v>
      </c>
      <c r="R2" s="7">
        <f>B2/$O$2*100</f>
        <v>9.0876410369535208</v>
      </c>
      <c r="S2" s="7">
        <f t="shared" ref="S2:AC13" si="0">C2/$O$2*100</f>
        <v>1.1568911002720654</v>
      </c>
      <c r="T2" s="7">
        <f t="shared" si="0"/>
        <v>0.96979501131563683</v>
      </c>
      <c r="U2" s="7">
        <f t="shared" si="0"/>
        <v>0.17810894057860893</v>
      </c>
      <c r="V2" s="7">
        <f t="shared" si="0"/>
        <v>0</v>
      </c>
      <c r="W2" s="7">
        <f t="shared" si="0"/>
        <v>8.1701348889270164E-2</v>
      </c>
      <c r="X2" s="7">
        <f t="shared" si="0"/>
        <v>0</v>
      </c>
      <c r="Y2" s="7">
        <f t="shared" si="0"/>
        <v>8.1701348889270172E-4</v>
      </c>
      <c r="Z2" s="7">
        <f t="shared" si="0"/>
        <v>0</v>
      </c>
      <c r="AA2" s="7">
        <f t="shared" si="0"/>
        <v>0</v>
      </c>
      <c r="AB2" s="7">
        <f t="shared" si="0"/>
        <v>0</v>
      </c>
      <c r="AC2" s="7">
        <f t="shared" si="0"/>
        <v>0</v>
      </c>
    </row>
    <row r="3" spans="1:29" x14ac:dyDescent="0.25">
      <c r="A3" s="3" t="s">
        <v>1</v>
      </c>
      <c r="B3" s="7">
        <v>2371</v>
      </c>
      <c r="C3" s="7">
        <v>3270</v>
      </c>
      <c r="D3" s="7">
        <v>6280</v>
      </c>
      <c r="E3" s="7">
        <v>280</v>
      </c>
      <c r="F3" s="7">
        <v>0</v>
      </c>
      <c r="G3" s="7">
        <v>8</v>
      </c>
      <c r="H3" s="7">
        <v>0</v>
      </c>
      <c r="I3" s="7">
        <v>0</v>
      </c>
      <c r="J3" s="7">
        <v>0</v>
      </c>
      <c r="K3" s="7">
        <v>50</v>
      </c>
      <c r="L3" s="7">
        <v>24</v>
      </c>
      <c r="M3" s="7">
        <v>0</v>
      </c>
      <c r="R3" s="7">
        <f t="shared" ref="R3:R13" si="1">B3/$O$2*100</f>
        <v>1.9371389821645955</v>
      </c>
      <c r="S3" s="7">
        <f t="shared" si="0"/>
        <v>2.6716341086791342</v>
      </c>
      <c r="T3" s="7">
        <f t="shared" si="0"/>
        <v>5.1308447102461665</v>
      </c>
      <c r="U3" s="7">
        <f t="shared" si="0"/>
        <v>0.22876377688995647</v>
      </c>
      <c r="V3" s="7">
        <f t="shared" si="0"/>
        <v>0</v>
      </c>
      <c r="W3" s="7">
        <f t="shared" si="0"/>
        <v>6.5361079111416137E-3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4.0850674444635082E-2</v>
      </c>
      <c r="AB3" s="7">
        <f t="shared" si="0"/>
        <v>1.9608323733424839E-2</v>
      </c>
      <c r="AC3" s="7">
        <f t="shared" si="0"/>
        <v>0</v>
      </c>
    </row>
    <row r="4" spans="1:29" x14ac:dyDescent="0.25">
      <c r="A4" s="4" t="s">
        <v>2</v>
      </c>
      <c r="B4" s="7">
        <v>695</v>
      </c>
      <c r="C4" s="7">
        <v>1108</v>
      </c>
      <c r="D4" s="7">
        <v>67510</v>
      </c>
      <c r="E4" s="7">
        <v>1967</v>
      </c>
      <c r="F4" s="7">
        <v>0</v>
      </c>
      <c r="G4" s="7">
        <v>274</v>
      </c>
      <c r="H4" s="7">
        <v>0</v>
      </c>
      <c r="I4" s="7">
        <v>3</v>
      </c>
      <c r="J4" s="7">
        <v>4</v>
      </c>
      <c r="K4" s="7">
        <v>240</v>
      </c>
      <c r="L4" s="7">
        <v>26</v>
      </c>
      <c r="M4" s="7">
        <v>0</v>
      </c>
      <c r="R4" s="7">
        <f t="shared" si="1"/>
        <v>0.56782437478042769</v>
      </c>
      <c r="S4" s="7">
        <f t="shared" si="0"/>
        <v>0.90525094569311337</v>
      </c>
      <c r="T4" s="7">
        <f>D4/$O$2*100</f>
        <v>55.156580635146291</v>
      </c>
      <c r="U4" s="7">
        <f t="shared" si="0"/>
        <v>1.6070655326519439</v>
      </c>
      <c r="V4" s="7">
        <f t="shared" si="0"/>
        <v>0</v>
      </c>
      <c r="W4" s="7">
        <f t="shared" si="0"/>
        <v>0.22386169595660024</v>
      </c>
      <c r="X4" s="7">
        <f t="shared" si="0"/>
        <v>0</v>
      </c>
      <c r="Y4" s="7">
        <f t="shared" si="0"/>
        <v>2.4510404666781048E-3</v>
      </c>
      <c r="Z4" s="7">
        <f t="shared" si="0"/>
        <v>3.2680539555708069E-3</v>
      </c>
      <c r="AA4" s="7">
        <f t="shared" si="0"/>
        <v>0.19608323733424837</v>
      </c>
      <c r="AB4" s="7">
        <f t="shared" si="0"/>
        <v>2.124235071121024E-2</v>
      </c>
      <c r="AC4" s="7">
        <f t="shared" si="0"/>
        <v>0</v>
      </c>
    </row>
    <row r="5" spans="1:29" x14ac:dyDescent="0.25">
      <c r="A5" s="3" t="s">
        <v>3</v>
      </c>
      <c r="B5" s="7">
        <v>26</v>
      </c>
      <c r="C5" s="7">
        <v>329</v>
      </c>
      <c r="D5" s="7">
        <v>1513</v>
      </c>
      <c r="E5" s="7">
        <v>1357</v>
      </c>
      <c r="F5" s="7">
        <v>0</v>
      </c>
      <c r="G5" s="7">
        <v>1171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si="1"/>
        <v>2.124235071121024E-2</v>
      </c>
      <c r="S5" s="7">
        <f t="shared" si="0"/>
        <v>0.26879743784569887</v>
      </c>
      <c r="T5" s="7">
        <f t="shared" si="0"/>
        <v>1.2361414086946576</v>
      </c>
      <c r="U5" s="7">
        <f t="shared" si="0"/>
        <v>1.1086873044273962</v>
      </c>
      <c r="V5" s="7">
        <f t="shared" si="0"/>
        <v>0</v>
      </c>
      <c r="W5" s="7">
        <f t="shared" si="0"/>
        <v>0.95672279549335359</v>
      </c>
      <c r="X5" s="7">
        <f t="shared" si="0"/>
        <v>0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1:29" x14ac:dyDescent="0.25">
      <c r="A6" s="3" t="s">
        <v>11</v>
      </c>
      <c r="B6" s="7">
        <v>1</v>
      </c>
      <c r="C6" s="7">
        <v>7</v>
      </c>
      <c r="D6" s="7">
        <v>218</v>
      </c>
      <c r="E6" s="7">
        <v>7</v>
      </c>
      <c r="F6" s="7">
        <v>0</v>
      </c>
      <c r="G6" s="7">
        <v>10</v>
      </c>
      <c r="H6" s="7">
        <v>0</v>
      </c>
      <c r="I6" s="7">
        <v>44</v>
      </c>
      <c r="J6" s="7">
        <v>0</v>
      </c>
      <c r="K6" s="7">
        <v>0</v>
      </c>
      <c r="L6" s="7">
        <v>0</v>
      </c>
      <c r="M6" s="7">
        <v>0</v>
      </c>
      <c r="R6" s="7">
        <f t="shared" si="1"/>
        <v>8.1701348889270172E-4</v>
      </c>
      <c r="S6" s="7">
        <f t="shared" si="0"/>
        <v>5.7190944222489113E-3</v>
      </c>
      <c r="T6" s="7">
        <f t="shared" si="0"/>
        <v>0.17810894057860893</v>
      </c>
      <c r="U6" s="7">
        <f t="shared" si="0"/>
        <v>5.7190944222489113E-3</v>
      </c>
      <c r="V6" s="7">
        <f t="shared" si="0"/>
        <v>0</v>
      </c>
      <c r="W6" s="7">
        <f t="shared" si="0"/>
        <v>8.1701348889270161E-3</v>
      </c>
      <c r="X6" s="7">
        <f t="shared" si="0"/>
        <v>0</v>
      </c>
      <c r="Y6" s="7">
        <f t="shared" si="0"/>
        <v>3.5948593511278874E-2</v>
      </c>
      <c r="Z6" s="7">
        <f t="shared" si="0"/>
        <v>0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1:29" x14ac:dyDescent="0.25">
      <c r="A7" s="3" t="s">
        <v>4</v>
      </c>
      <c r="B7" s="7">
        <v>763</v>
      </c>
      <c r="C7" s="7">
        <v>88</v>
      </c>
      <c r="D7" s="7">
        <v>1056</v>
      </c>
      <c r="E7" s="7">
        <v>651</v>
      </c>
      <c r="F7" s="7">
        <v>0</v>
      </c>
      <c r="G7" s="7">
        <v>5760</v>
      </c>
      <c r="H7" s="7">
        <v>1</v>
      </c>
      <c r="I7" s="7">
        <v>0</v>
      </c>
      <c r="J7" s="7">
        <v>33</v>
      </c>
      <c r="K7" s="7">
        <v>22</v>
      </c>
      <c r="L7" s="7">
        <v>0</v>
      </c>
      <c r="M7" s="7">
        <v>0</v>
      </c>
      <c r="R7" s="7">
        <f t="shared" si="1"/>
        <v>0.62338129202513137</v>
      </c>
      <c r="S7" s="7">
        <f t="shared" si="0"/>
        <v>7.1897187022557749E-2</v>
      </c>
      <c r="T7" s="7">
        <f t="shared" si="0"/>
        <v>0.86276624427069293</v>
      </c>
      <c r="U7" s="7">
        <f t="shared" si="0"/>
        <v>0.5318757812691487</v>
      </c>
      <c r="V7" s="7">
        <f t="shared" si="0"/>
        <v>0</v>
      </c>
      <c r="W7" s="7">
        <f t="shared" si="0"/>
        <v>4.7059976960219618</v>
      </c>
      <c r="X7" s="7">
        <f t="shared" si="0"/>
        <v>8.1701348889270172E-4</v>
      </c>
      <c r="Y7" s="7">
        <f t="shared" si="0"/>
        <v>0</v>
      </c>
      <c r="Z7" s="7">
        <f t="shared" si="0"/>
        <v>2.6961445133459154E-2</v>
      </c>
      <c r="AA7" s="7">
        <f t="shared" si="0"/>
        <v>1.7974296755639437E-2</v>
      </c>
      <c r="AB7" s="7">
        <f t="shared" si="0"/>
        <v>0</v>
      </c>
      <c r="AC7" s="7">
        <f t="shared" si="0"/>
        <v>0</v>
      </c>
    </row>
    <row r="8" spans="1:29" x14ac:dyDescent="0.25">
      <c r="A8" s="3" t="s">
        <v>5</v>
      </c>
      <c r="B8" s="7">
        <v>2</v>
      </c>
      <c r="C8" s="7">
        <v>0</v>
      </c>
      <c r="D8" s="7">
        <v>0</v>
      </c>
      <c r="E8" s="7">
        <v>51</v>
      </c>
      <c r="F8" s="7">
        <v>0</v>
      </c>
      <c r="G8" s="7">
        <v>2844</v>
      </c>
      <c r="H8" s="7">
        <v>8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1.6340269777854034E-3</v>
      </c>
      <c r="S8" s="7">
        <f t="shared" si="0"/>
        <v>0</v>
      </c>
      <c r="T8" s="7">
        <f t="shared" si="0"/>
        <v>0</v>
      </c>
      <c r="U8" s="7">
        <f t="shared" si="0"/>
        <v>4.1667687933527785E-2</v>
      </c>
      <c r="V8" s="7">
        <f t="shared" si="0"/>
        <v>0</v>
      </c>
      <c r="W8" s="7">
        <f t="shared" si="0"/>
        <v>2.3235863624108433</v>
      </c>
      <c r="X8" s="7">
        <f t="shared" si="0"/>
        <v>6.5361079111416137E-3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1:29" x14ac:dyDescent="0.25">
      <c r="A9" s="3" t="s">
        <v>6</v>
      </c>
      <c r="B9" s="7">
        <v>0</v>
      </c>
      <c r="C9" s="7">
        <v>0</v>
      </c>
      <c r="D9" s="7">
        <v>40</v>
      </c>
      <c r="E9" s="7">
        <v>0</v>
      </c>
      <c r="F9" s="7">
        <v>8</v>
      </c>
      <c r="G9" s="7">
        <v>310</v>
      </c>
      <c r="H9" s="7">
        <v>0</v>
      </c>
      <c r="I9" s="7">
        <v>6139</v>
      </c>
      <c r="J9" s="7">
        <v>1</v>
      </c>
      <c r="K9" s="7">
        <v>0</v>
      </c>
      <c r="L9" s="7">
        <v>0</v>
      </c>
      <c r="M9" s="7">
        <v>0</v>
      </c>
      <c r="R9" s="7">
        <f t="shared" si="1"/>
        <v>0</v>
      </c>
      <c r="S9" s="7">
        <f t="shared" si="0"/>
        <v>0</v>
      </c>
      <c r="T9" s="7">
        <f t="shared" si="0"/>
        <v>3.2680539555708064E-2</v>
      </c>
      <c r="U9" s="7">
        <f t="shared" si="0"/>
        <v>0</v>
      </c>
      <c r="V9" s="7">
        <f t="shared" si="0"/>
        <v>6.5361079111416137E-3</v>
      </c>
      <c r="W9" s="7">
        <f t="shared" si="0"/>
        <v>0.25327418155673753</v>
      </c>
      <c r="X9" s="7">
        <f t="shared" si="0"/>
        <v>0</v>
      </c>
      <c r="Y9" s="7">
        <f t="shared" si="0"/>
        <v>5.0156458083122955</v>
      </c>
      <c r="Z9" s="7">
        <f t="shared" si="0"/>
        <v>8.1701348889270172E-4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1:29" x14ac:dyDescent="0.25">
      <c r="A10" s="3" t="s">
        <v>7</v>
      </c>
      <c r="B10" s="7">
        <v>39</v>
      </c>
      <c r="C10" s="7">
        <v>0</v>
      </c>
      <c r="D10" s="7">
        <v>11</v>
      </c>
      <c r="E10" s="7">
        <v>0</v>
      </c>
      <c r="F10" s="7">
        <v>2</v>
      </c>
      <c r="G10" s="7">
        <v>144</v>
      </c>
      <c r="H10" s="7">
        <v>0</v>
      </c>
      <c r="I10" s="7">
        <v>255</v>
      </c>
      <c r="J10" s="7">
        <v>146</v>
      </c>
      <c r="K10" s="7">
        <v>0</v>
      </c>
      <c r="L10" s="7">
        <v>0</v>
      </c>
      <c r="M10" s="7">
        <v>0</v>
      </c>
      <c r="R10" s="7">
        <f t="shared" si="1"/>
        <v>3.1863526066815362E-2</v>
      </c>
      <c r="S10" s="7">
        <f t="shared" si="0"/>
        <v>0</v>
      </c>
      <c r="T10" s="7">
        <f t="shared" si="0"/>
        <v>8.9871483778197186E-3</v>
      </c>
      <c r="U10" s="7">
        <f t="shared" si="0"/>
        <v>0</v>
      </c>
      <c r="V10" s="7">
        <f t="shared" si="0"/>
        <v>1.6340269777854034E-3</v>
      </c>
      <c r="W10" s="7">
        <f t="shared" si="0"/>
        <v>0.11764994240054903</v>
      </c>
      <c r="X10" s="7">
        <f t="shared" si="0"/>
        <v>0</v>
      </c>
      <c r="Y10" s="7">
        <f t="shared" si="0"/>
        <v>0.2083384396676389</v>
      </c>
      <c r="Z10" s="7">
        <f t="shared" si="0"/>
        <v>0.11928396937833444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1:29" x14ac:dyDescent="0.25">
      <c r="A11" s="3" t="s">
        <v>12</v>
      </c>
      <c r="B11" s="7">
        <v>33</v>
      </c>
      <c r="C11" s="7">
        <v>0</v>
      </c>
      <c r="D11" s="7">
        <v>374</v>
      </c>
      <c r="E11" s="7">
        <v>0</v>
      </c>
      <c r="F11" s="7">
        <v>0</v>
      </c>
      <c r="G11" s="7">
        <v>18</v>
      </c>
      <c r="H11" s="7">
        <v>0</v>
      </c>
      <c r="I11" s="7">
        <v>0</v>
      </c>
      <c r="J11" s="7">
        <v>0</v>
      </c>
      <c r="K11" s="7">
        <v>516</v>
      </c>
      <c r="L11" s="7">
        <v>0</v>
      </c>
      <c r="M11" s="7">
        <v>0</v>
      </c>
      <c r="R11" s="7">
        <f t="shared" si="1"/>
        <v>2.6961445133459154E-2</v>
      </c>
      <c r="S11" s="7">
        <f t="shared" si="0"/>
        <v>0</v>
      </c>
      <c r="T11" s="7">
        <f t="shared" si="0"/>
        <v>0.30556304484587038</v>
      </c>
      <c r="U11" s="7">
        <f t="shared" si="0"/>
        <v>0</v>
      </c>
      <c r="V11" s="7">
        <f t="shared" si="0"/>
        <v>0</v>
      </c>
      <c r="W11" s="7">
        <f t="shared" si="0"/>
        <v>1.4706242800068629E-2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0.42157896026863401</v>
      </c>
      <c r="AB11" s="7">
        <f t="shared" si="0"/>
        <v>0</v>
      </c>
      <c r="AC11" s="7">
        <f t="shared" si="0"/>
        <v>0</v>
      </c>
    </row>
    <row r="12" spans="1:29" x14ac:dyDescent="0.25">
      <c r="A12" s="3" t="s">
        <v>8</v>
      </c>
      <c r="B12" s="7">
        <v>21</v>
      </c>
      <c r="C12" s="7">
        <v>10</v>
      </c>
      <c r="D12" s="7">
        <v>35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178</v>
      </c>
      <c r="M12" s="7">
        <v>0</v>
      </c>
      <c r="R12" s="7">
        <f t="shared" si="1"/>
        <v>1.7157283266746731E-2</v>
      </c>
      <c r="S12" s="7">
        <f t="shared" si="0"/>
        <v>8.1701348889270161E-3</v>
      </c>
      <c r="T12" s="7">
        <f t="shared" si="0"/>
        <v>2.8595472111244559E-2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0.14542840102290089</v>
      </c>
      <c r="AC12" s="7">
        <f t="shared" si="0"/>
        <v>0</v>
      </c>
    </row>
    <row r="13" spans="1:29" x14ac:dyDescent="0.25">
      <c r="A13" s="3" t="s">
        <v>9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4" spans="1:29" x14ac:dyDescent="0.25">
      <c r="A14" s="3" t="s">
        <v>10</v>
      </c>
    </row>
    <row r="16" spans="1:29" x14ac:dyDescent="0.25">
      <c r="B16" t="s">
        <v>41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73.789306089956213</v>
      </c>
      <c r="C19" s="7">
        <f t="shared" ref="C19:M19" si="2">IFERROR(C2/SUM(C$2:C$13)*100,0)</f>
        <v>22.736030828516377</v>
      </c>
      <c r="D19" s="7">
        <f t="shared" si="2"/>
        <v>1.5174371037021885</v>
      </c>
      <c r="E19" s="7">
        <f t="shared" si="2"/>
        <v>4.8112999337894511</v>
      </c>
      <c r="F19" s="7">
        <f t="shared" si="2"/>
        <v>0</v>
      </c>
      <c r="G19" s="7">
        <f t="shared" si="2"/>
        <v>0.9399379640943698</v>
      </c>
      <c r="H19" s="7">
        <f t="shared" si="2"/>
        <v>0</v>
      </c>
      <c r="I19" s="7">
        <f t="shared" si="2"/>
        <v>1.552312946289972E-2</v>
      </c>
      <c r="J19" s="7">
        <f t="shared" si="2"/>
        <v>0</v>
      </c>
      <c r="K19" s="7">
        <f t="shared" si="2"/>
        <v>0</v>
      </c>
      <c r="L19" s="7">
        <f t="shared" si="2"/>
        <v>0</v>
      </c>
      <c r="M19" s="7">
        <f t="shared" si="2"/>
        <v>0</v>
      </c>
      <c r="R19">
        <f>B2*'scoring matrix'!C4</f>
        <v>0</v>
      </c>
      <c r="S19">
        <f>C2*'scoring matrix'!D4</f>
        <v>2832</v>
      </c>
      <c r="T19">
        <f>D2*'scoring matrix'!E4</f>
        <v>4154.5</v>
      </c>
      <c r="U19">
        <f>E2*'scoring matrix'!F4</f>
        <v>654</v>
      </c>
      <c r="V19">
        <f>F2*'scoring matrix'!G4</f>
        <v>0</v>
      </c>
      <c r="W19">
        <f>G2*'scoring matrix'!H4</f>
        <v>350</v>
      </c>
      <c r="X19">
        <f>H2*'scoring matrix'!I4</f>
        <v>0</v>
      </c>
      <c r="Y19">
        <f>I2*'scoring matrix'!J4</f>
        <v>4</v>
      </c>
      <c r="Z19">
        <f>J2*'scoring matrix'!K4</f>
        <v>0</v>
      </c>
      <c r="AA19">
        <f>K2*'scoring matrix'!L4</f>
        <v>0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15.729069921719516</v>
      </c>
      <c r="C20" s="7">
        <f t="shared" si="3"/>
        <v>52.504816955684007</v>
      </c>
      <c r="D20" s="7">
        <f t="shared" si="3"/>
        <v>8.0282266312129273</v>
      </c>
      <c r="E20" s="7">
        <f t="shared" si="3"/>
        <v>6.1796512911057162</v>
      </c>
      <c r="F20" s="7">
        <f t="shared" si="3"/>
        <v>0</v>
      </c>
      <c r="G20" s="7">
        <f t="shared" si="3"/>
        <v>7.5195037127549588E-2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6.0386473429951693</v>
      </c>
      <c r="L20" s="7">
        <f t="shared" si="3"/>
        <v>10.526315789473683</v>
      </c>
      <c r="M20" s="7">
        <f t="shared" si="3"/>
        <v>0</v>
      </c>
      <c r="R20">
        <f>B3*'scoring matrix'!C5</f>
        <v>4742</v>
      </c>
      <c r="S20">
        <f>C3*'scoring matrix'!D5</f>
        <v>0</v>
      </c>
      <c r="T20">
        <f>D3*'scoring matrix'!E5</f>
        <v>14915</v>
      </c>
      <c r="U20">
        <f>E3*'scoring matrix'!F5</f>
        <v>770</v>
      </c>
      <c r="V20">
        <f>F3*'scoring matrix'!G5</f>
        <v>0</v>
      </c>
      <c r="W20">
        <f>G3*'scoring matrix'!H5</f>
        <v>30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150</v>
      </c>
      <c r="AB20">
        <f>L3*'scoring matrix'!M5</f>
        <v>90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4.610587767016054</v>
      </c>
      <c r="C21" s="7">
        <f t="shared" si="3"/>
        <v>17.79062299293513</v>
      </c>
      <c r="D21" s="7">
        <f t="shared" si="3"/>
        <v>86.303436285538965</v>
      </c>
      <c r="E21" s="7">
        <f t="shared" si="3"/>
        <v>43.412050320017656</v>
      </c>
      <c r="F21" s="7">
        <f t="shared" si="3"/>
        <v>0</v>
      </c>
      <c r="G21" s="7">
        <f t="shared" si="3"/>
        <v>2.5754300216185735</v>
      </c>
      <c r="H21" s="7">
        <f t="shared" si="3"/>
        <v>0</v>
      </c>
      <c r="I21" s="7">
        <f t="shared" si="3"/>
        <v>4.6569388388699166E-2</v>
      </c>
      <c r="J21" s="7">
        <f t="shared" si="3"/>
        <v>2.1739130434782608</v>
      </c>
      <c r="K21" s="7">
        <f t="shared" si="3"/>
        <v>28.985507246376812</v>
      </c>
      <c r="L21" s="7">
        <f t="shared" si="3"/>
        <v>11.403508771929824</v>
      </c>
      <c r="M21" s="7">
        <f t="shared" si="3"/>
        <v>0</v>
      </c>
      <c r="R21">
        <f>B4*'scoring matrix'!C6</f>
        <v>2432.5</v>
      </c>
      <c r="S21">
        <f>C4*'scoring matrix'!D6</f>
        <v>2631.5</v>
      </c>
      <c r="T21">
        <f>D4*'scoring matrix'!E6</f>
        <v>0</v>
      </c>
      <c r="U21">
        <f>E4*'scoring matrix'!F6</f>
        <v>3934</v>
      </c>
      <c r="V21">
        <f>F4*'scoring matrix'!G6</f>
        <v>0</v>
      </c>
      <c r="W21">
        <f>G4*'scoring matrix'!H6</f>
        <v>959</v>
      </c>
      <c r="X21">
        <f>H4*'scoring matrix'!I6</f>
        <v>0</v>
      </c>
      <c r="Y21">
        <f>I4*'scoring matrix'!J6</f>
        <v>12</v>
      </c>
      <c r="Z21">
        <f>J4*'scoring matrix'!K6</f>
        <v>16</v>
      </c>
      <c r="AA21">
        <f>K4*'scoring matrix'!L6</f>
        <v>660</v>
      </c>
      <c r="AB21">
        <f>L4*'scoring matrix'!M6</f>
        <v>84.5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0.17248242006103223</v>
      </c>
      <c r="C22" s="7">
        <f t="shared" si="3"/>
        <v>5.2825947334617851</v>
      </c>
      <c r="D22" s="7">
        <f t="shared" si="3"/>
        <v>1.934188995704643</v>
      </c>
      <c r="E22" s="7">
        <f t="shared" si="3"/>
        <v>29.949238578680205</v>
      </c>
      <c r="F22" s="7">
        <f t="shared" si="3"/>
        <v>0</v>
      </c>
      <c r="G22" s="7">
        <f t="shared" si="3"/>
        <v>11.006673559545071</v>
      </c>
      <c r="H22" s="7">
        <f t="shared" si="3"/>
        <v>0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0</v>
      </c>
      <c r="R22">
        <f>B5*'scoring matrix'!C7</f>
        <v>78</v>
      </c>
      <c r="S22">
        <f>C5*'scoring matrix'!D7</f>
        <v>904.75</v>
      </c>
      <c r="T22">
        <f>D5*'scoring matrix'!E7</f>
        <v>3026</v>
      </c>
      <c r="U22">
        <f>E5*'scoring matrix'!F7</f>
        <v>0</v>
      </c>
      <c r="V22">
        <f>F5*'scoring matrix'!G7</f>
        <v>0</v>
      </c>
      <c r="W22">
        <f>G5*'scoring matrix'!H7</f>
        <v>2342</v>
      </c>
      <c r="X22">
        <f>H5*'scoring matrix'!I7</f>
        <v>0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6.6339392331166242E-3</v>
      </c>
      <c r="C23" s="7">
        <f t="shared" si="3"/>
        <v>0.11239563262684649</v>
      </c>
      <c r="D23" s="7">
        <f t="shared" si="3"/>
        <v>0.27868684802618121</v>
      </c>
      <c r="E23" s="7">
        <f t="shared" si="3"/>
        <v>0.15449128227764292</v>
      </c>
      <c r="F23" s="7">
        <f t="shared" si="3"/>
        <v>0</v>
      </c>
      <c r="G23" s="7">
        <f t="shared" si="3"/>
        <v>9.3993796409436975E-2</v>
      </c>
      <c r="H23" s="7">
        <f t="shared" si="3"/>
        <v>0</v>
      </c>
      <c r="I23" s="7">
        <f t="shared" si="3"/>
        <v>0.68301769636758769</v>
      </c>
      <c r="J23" s="7">
        <f t="shared" si="3"/>
        <v>0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3.75</v>
      </c>
      <c r="S23">
        <f>C6*'scoring matrix'!D8</f>
        <v>28</v>
      </c>
      <c r="T23">
        <f>D6*'scoring matrix'!E8</f>
        <v>763</v>
      </c>
      <c r="U23">
        <f>E6*'scoring matrix'!F8</f>
        <v>17.5</v>
      </c>
      <c r="V23">
        <f>F6*'scoring matrix'!G8</f>
        <v>0</v>
      </c>
      <c r="W23">
        <f>G6*'scoring matrix'!H8</f>
        <v>26.25</v>
      </c>
      <c r="X23">
        <f>H6*'scoring matrix'!I8</f>
        <v>0</v>
      </c>
      <c r="Y23">
        <f>I6*'scoring matrix'!J8</f>
        <v>165</v>
      </c>
      <c r="Z23">
        <f>J6*'scoring matrix'!K8</f>
        <v>0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5.0616956348679842</v>
      </c>
      <c r="C24" s="7">
        <f t="shared" si="3"/>
        <v>1.4129736673089275</v>
      </c>
      <c r="D24" s="7">
        <f t="shared" si="3"/>
        <v>1.3499693188791164</v>
      </c>
      <c r="E24" s="7">
        <f t="shared" si="3"/>
        <v>14.367689251820789</v>
      </c>
      <c r="F24" s="7">
        <f t="shared" si="3"/>
        <v>0</v>
      </c>
      <c r="G24" s="7">
        <f t="shared" si="3"/>
        <v>54.140426731835703</v>
      </c>
      <c r="H24" s="7">
        <f t="shared" si="3"/>
        <v>11.111111111111111</v>
      </c>
      <c r="I24" s="7">
        <f t="shared" si="3"/>
        <v>0</v>
      </c>
      <c r="J24" s="7">
        <f t="shared" si="3"/>
        <v>17.934782608695652</v>
      </c>
      <c r="K24" s="7">
        <f t="shared" si="3"/>
        <v>2.6570048309178742</v>
      </c>
      <c r="L24" s="7">
        <f t="shared" si="3"/>
        <v>0</v>
      </c>
      <c r="M24" s="7">
        <f t="shared" si="3"/>
        <v>0</v>
      </c>
      <c r="P24" s="2"/>
      <c r="R24">
        <f>B7*'scoring matrix'!C9</f>
        <v>2670.5</v>
      </c>
      <c r="S24">
        <f>C7*'scoring matrix'!D9</f>
        <v>330</v>
      </c>
      <c r="T24">
        <f>D7*'scoring matrix'!E9</f>
        <v>3696</v>
      </c>
      <c r="U24">
        <f>E7*'scoring matrix'!F9</f>
        <v>1302</v>
      </c>
      <c r="V24">
        <f>F7*'scoring matrix'!G9</f>
        <v>0</v>
      </c>
      <c r="W24">
        <f>G7*'scoring matrix'!H9</f>
        <v>0</v>
      </c>
      <c r="X24">
        <f>H7*'scoring matrix'!I9</f>
        <v>1.375</v>
      </c>
      <c r="Y24">
        <f>I7*'scoring matrix'!J9</f>
        <v>0</v>
      </c>
      <c r="Z24">
        <f>J7*'scoring matrix'!K9</f>
        <v>123.75</v>
      </c>
      <c r="AA24">
        <f>K7*'scoring matrix'!L9</f>
        <v>77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1.3267878466233248E-2</v>
      </c>
      <c r="C25" s="7">
        <f t="shared" si="3"/>
        <v>0</v>
      </c>
      <c r="D25" s="7">
        <f t="shared" si="3"/>
        <v>0</v>
      </c>
      <c r="E25" s="7">
        <f t="shared" si="3"/>
        <v>1.1255793423085412</v>
      </c>
      <c r="F25" s="7">
        <f t="shared" si="3"/>
        <v>0</v>
      </c>
      <c r="G25" s="7">
        <f t="shared" si="3"/>
        <v>26.731835698843874</v>
      </c>
      <c r="H25" s="7">
        <f t="shared" si="3"/>
        <v>88.888888888888886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7</v>
      </c>
      <c r="S25">
        <f>C8*'scoring matrix'!D10</f>
        <v>0</v>
      </c>
      <c r="T25">
        <f>D8*'scoring matrix'!E10</f>
        <v>0</v>
      </c>
      <c r="U25">
        <f>E8*'scoring matrix'!F10</f>
        <v>114.75</v>
      </c>
      <c r="V25">
        <f>F8*'scoring matrix'!G10</f>
        <v>0</v>
      </c>
      <c r="W25">
        <f>G8*'scoring matrix'!H10</f>
        <v>3910.5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63295.25</v>
      </c>
    </row>
    <row r="26" spans="1:31" ht="23.25" customHeight="1" x14ac:dyDescent="0.25">
      <c r="A26" s="3" t="s">
        <v>7</v>
      </c>
      <c r="B26" s="7">
        <f t="shared" si="3"/>
        <v>0</v>
      </c>
      <c r="C26" s="7">
        <f t="shared" si="3"/>
        <v>0</v>
      </c>
      <c r="D26" s="7">
        <f t="shared" si="3"/>
        <v>5.1135201472693806E-2</v>
      </c>
      <c r="E26" s="7">
        <f t="shared" si="3"/>
        <v>0</v>
      </c>
      <c r="F26" s="7">
        <f t="shared" si="3"/>
        <v>80</v>
      </c>
      <c r="G26" s="7">
        <f t="shared" si="3"/>
        <v>2.9138076886925464</v>
      </c>
      <c r="H26" s="7">
        <f t="shared" si="3"/>
        <v>0</v>
      </c>
      <c r="I26" s="7">
        <f t="shared" si="3"/>
        <v>95.29649177274139</v>
      </c>
      <c r="J26" s="7">
        <f t="shared" si="3"/>
        <v>0.54347826086956519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0</v>
      </c>
      <c r="S26">
        <f>C9*'scoring matrix'!D11</f>
        <v>0</v>
      </c>
      <c r="T26">
        <f>D9*'scoring matrix'!E11</f>
        <v>160</v>
      </c>
      <c r="U26">
        <f>E9*'scoring matrix'!F11</f>
        <v>0</v>
      </c>
      <c r="V26">
        <f>F9*'scoring matrix'!G11</f>
        <v>30</v>
      </c>
      <c r="W26">
        <f>G9*'scoring matrix'!H11</f>
        <v>1240</v>
      </c>
      <c r="X26">
        <f>H9*'scoring matrix'!I11</f>
        <v>0</v>
      </c>
      <c r="Y26">
        <f>I9*'scoring matrix'!J11</f>
        <v>0</v>
      </c>
      <c r="Z26">
        <f>J9*'scoring matrix'!K11</f>
        <v>2.75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0.25872363009154836</v>
      </c>
      <c r="C27" s="7">
        <f t="shared" si="3"/>
        <v>0</v>
      </c>
      <c r="D27" s="7">
        <f t="shared" si="3"/>
        <v>1.4062180404990797E-2</v>
      </c>
      <c r="E27" s="7">
        <f t="shared" si="3"/>
        <v>0</v>
      </c>
      <c r="F27" s="7">
        <f t="shared" si="3"/>
        <v>20</v>
      </c>
      <c r="G27" s="7">
        <f t="shared" si="3"/>
        <v>1.3535106682958926</v>
      </c>
      <c r="H27" s="7">
        <f t="shared" si="3"/>
        <v>0</v>
      </c>
      <c r="I27" s="7">
        <f t="shared" si="3"/>
        <v>3.958398013039429</v>
      </c>
      <c r="J27" s="7">
        <f t="shared" si="3"/>
        <v>79.347826086956516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156</v>
      </c>
      <c r="S27">
        <f>C10*'scoring matrix'!D12</f>
        <v>0</v>
      </c>
      <c r="T27">
        <f>D10*'scoring matrix'!E12</f>
        <v>44</v>
      </c>
      <c r="U27">
        <f>E10*'scoring matrix'!F12</f>
        <v>0</v>
      </c>
      <c r="V27">
        <f>F10*'scoring matrix'!G12</f>
        <v>6.5</v>
      </c>
      <c r="W27">
        <f>G10*'scoring matrix'!H12</f>
        <v>540</v>
      </c>
      <c r="X27">
        <f>H10*'scoring matrix'!I12</f>
        <v>0</v>
      </c>
      <c r="Y27">
        <f>I10*'scoring matrix'!J12</f>
        <v>701.25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0.21891999469284862</v>
      </c>
      <c r="C28" s="7">
        <f t="shared" si="3"/>
        <v>0</v>
      </c>
      <c r="D28" s="7">
        <f t="shared" si="3"/>
        <v>0.47811413376968703</v>
      </c>
      <c r="E28" s="7">
        <f t="shared" si="3"/>
        <v>0</v>
      </c>
      <c r="F28" s="7">
        <f t="shared" si="3"/>
        <v>0</v>
      </c>
      <c r="G28" s="7">
        <f t="shared" si="3"/>
        <v>0.16918883353698658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62.318840579710141</v>
      </c>
      <c r="L28" s="7">
        <f t="shared" si="3"/>
        <v>0</v>
      </c>
      <c r="M28" s="7">
        <f t="shared" si="3"/>
        <v>0</v>
      </c>
      <c r="R28">
        <f>B11*'scoring matrix'!C13</f>
        <v>82.5</v>
      </c>
      <c r="S28">
        <f>C11*'scoring matrix'!D13</f>
        <v>0</v>
      </c>
      <c r="T28">
        <f>D11*'scoring matrix'!E13</f>
        <v>1028.5</v>
      </c>
      <c r="U28">
        <f>E11*'scoring matrix'!F13</f>
        <v>0</v>
      </c>
      <c r="V28">
        <f>F11*'scoring matrix'!G13</f>
        <v>0</v>
      </c>
      <c r="W28">
        <f>G11*'scoring matrix'!H13</f>
        <v>63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0.13931272389544913</v>
      </c>
      <c r="C29" s="7">
        <f t="shared" si="3"/>
        <v>0.16056518946692355</v>
      </c>
      <c r="D29" s="7">
        <f t="shared" si="3"/>
        <v>4.4743301288607075E-2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78.070175438596493</v>
      </c>
      <c r="M29" s="7">
        <f t="shared" si="3"/>
        <v>0</v>
      </c>
      <c r="R29">
        <f>B12*'scoring matrix'!C14</f>
        <v>81.375</v>
      </c>
      <c r="S29">
        <f>C12*'scoring matrix'!D14</f>
        <v>37.5</v>
      </c>
      <c r="T29">
        <f>D12*'scoring matrix'!E14</f>
        <v>113.75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13">
      <colorScale>
        <cfvo type="num" val="0"/>
        <cfvo type="num" val="1"/>
        <color rgb="FFFF7128"/>
        <color theme="9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11">
      <colorScale>
        <cfvo type="num" val="0"/>
        <cfvo type="num" val="100"/>
        <color rgb="FFFFFBE7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7">
      <colorScale>
        <cfvo type="num" val="0"/>
        <cfvo type="num" val="12238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5">
      <colorScale>
        <cfvo type="num" val="0"/>
        <cfvo type="num" val="100"/>
        <color rgb="FFFFFBE7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M1">
    <cfRule type="colorScale" priority="3">
      <colorScale>
        <cfvo type="num" val="0"/>
        <cfvo type="num" val="1"/>
        <color rgb="FFFF7128"/>
        <color theme="9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">
    <cfRule type="colorScale" priority="1">
      <colorScale>
        <cfvo type="num" val="0"/>
        <cfvo type="num" val="1"/>
        <color rgb="FFFF7128"/>
        <color theme="9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74948-F1ED-48F9-9E99-17FA07CB7BA8}">
  <dimension ref="A2:AE31"/>
  <sheetViews>
    <sheetView workbookViewId="0">
      <selection activeCell="R19" sqref="R19:AE30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10057</v>
      </c>
      <c r="C2" s="7">
        <v>945</v>
      </c>
      <c r="D2" s="7">
        <v>2212</v>
      </c>
      <c r="E2" s="7">
        <v>76</v>
      </c>
      <c r="F2" s="7">
        <v>0</v>
      </c>
      <c r="G2" s="7">
        <v>754</v>
      </c>
      <c r="H2" s="7">
        <v>0</v>
      </c>
      <c r="I2" s="7">
        <v>0</v>
      </c>
      <c r="J2" s="7">
        <v>0</v>
      </c>
      <c r="K2" s="7">
        <v>0</v>
      </c>
      <c r="L2" s="7">
        <v>1</v>
      </c>
      <c r="M2" s="7">
        <v>0</v>
      </c>
      <c r="O2" s="8">
        <f>SUM(B2:M13)</f>
        <v>122397</v>
      </c>
      <c r="R2" s="7">
        <f>B2/$O$2*100</f>
        <v>8.2167046577938994</v>
      </c>
      <c r="S2" s="7">
        <f t="shared" ref="S2:AC13" si="0">C2/$O$2*100</f>
        <v>0.77207774700360299</v>
      </c>
      <c r="T2" s="7">
        <f t="shared" si="0"/>
        <v>1.8072338374306558</v>
      </c>
      <c r="U2" s="7">
        <f t="shared" si="0"/>
        <v>6.2093025155845319E-2</v>
      </c>
      <c r="V2" s="7">
        <f t="shared" si="0"/>
        <v>0</v>
      </c>
      <c r="W2" s="7">
        <f t="shared" si="0"/>
        <v>0.61602817062509696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8.1701348889270172E-4</v>
      </c>
      <c r="AC2" s="7">
        <f t="shared" si="0"/>
        <v>0</v>
      </c>
    </row>
    <row r="3" spans="2:29" x14ac:dyDescent="0.25">
      <c r="B3" s="7">
        <v>1821</v>
      </c>
      <c r="C3" s="7">
        <v>3074</v>
      </c>
      <c r="D3" s="7">
        <v>6582</v>
      </c>
      <c r="E3" s="7">
        <v>33</v>
      </c>
      <c r="F3" s="7">
        <v>0</v>
      </c>
      <c r="G3" s="7">
        <v>693</v>
      </c>
      <c r="H3" s="7">
        <v>0</v>
      </c>
      <c r="I3" s="7">
        <v>0</v>
      </c>
      <c r="J3" s="7">
        <v>0</v>
      </c>
      <c r="K3" s="7">
        <v>63</v>
      </c>
      <c r="L3" s="7">
        <v>17</v>
      </c>
      <c r="M3" s="7">
        <v>0</v>
      </c>
      <c r="R3" s="7">
        <f t="shared" ref="R3:R13" si="1">B3/$O$2*100</f>
        <v>1.4877815632736098</v>
      </c>
      <c r="S3" s="7">
        <f t="shared" si="0"/>
        <v>2.5114994648561648</v>
      </c>
      <c r="T3" s="7">
        <f t="shared" si="0"/>
        <v>5.3775827838917625</v>
      </c>
      <c r="U3" s="7">
        <f t="shared" si="0"/>
        <v>2.6961445133459154E-2</v>
      </c>
      <c r="V3" s="7">
        <f t="shared" si="0"/>
        <v>0</v>
      </c>
      <c r="W3" s="7">
        <f t="shared" si="0"/>
        <v>0.56619034780264221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5.1471849800240208E-2</v>
      </c>
      <c r="AB3" s="7">
        <f t="shared" si="0"/>
        <v>1.3889229311175928E-2</v>
      </c>
      <c r="AC3" s="7">
        <f t="shared" si="0"/>
        <v>0</v>
      </c>
    </row>
    <row r="4" spans="2:29" x14ac:dyDescent="0.25">
      <c r="B4" s="7">
        <v>541</v>
      </c>
      <c r="C4" s="7">
        <v>668</v>
      </c>
      <c r="D4" s="7">
        <v>69466</v>
      </c>
      <c r="E4" s="7">
        <v>541</v>
      </c>
      <c r="F4" s="7">
        <v>1</v>
      </c>
      <c r="G4" s="7">
        <v>321</v>
      </c>
      <c r="H4" s="7">
        <v>12</v>
      </c>
      <c r="I4" s="7">
        <v>1</v>
      </c>
      <c r="J4" s="7">
        <v>10</v>
      </c>
      <c r="K4" s="7">
        <v>238</v>
      </c>
      <c r="L4" s="7">
        <v>28</v>
      </c>
      <c r="M4" s="7">
        <v>0</v>
      </c>
      <c r="R4" s="7">
        <f t="shared" si="1"/>
        <v>0.4420042974909516</v>
      </c>
      <c r="S4" s="7">
        <f t="shared" si="0"/>
        <v>0.54576501058032467</v>
      </c>
      <c r="T4" s="7">
        <f>D4/$O$2*100</f>
        <v>56.754659019420409</v>
      </c>
      <c r="U4" s="7">
        <f t="shared" si="0"/>
        <v>0.4420042974909516</v>
      </c>
      <c r="V4" s="7">
        <f t="shared" si="0"/>
        <v>8.1701348889270172E-4</v>
      </c>
      <c r="W4" s="7">
        <f t="shared" si="0"/>
        <v>0.26226132993455725</v>
      </c>
      <c r="X4" s="7">
        <f t="shared" si="0"/>
        <v>9.8041618667124193E-3</v>
      </c>
      <c r="Y4" s="7">
        <f t="shared" si="0"/>
        <v>8.1701348889270172E-4</v>
      </c>
      <c r="Z4" s="7">
        <f t="shared" si="0"/>
        <v>8.1701348889270161E-3</v>
      </c>
      <c r="AA4" s="7">
        <f t="shared" si="0"/>
        <v>0.19444921035646298</v>
      </c>
      <c r="AB4" s="7">
        <f t="shared" si="0"/>
        <v>2.2876377688995645E-2</v>
      </c>
      <c r="AC4" s="7">
        <f t="shared" si="0"/>
        <v>0</v>
      </c>
    </row>
    <row r="5" spans="2:29" x14ac:dyDescent="0.25">
      <c r="B5" s="7">
        <v>48</v>
      </c>
      <c r="C5" s="7">
        <v>496</v>
      </c>
      <c r="D5" s="7">
        <v>1407</v>
      </c>
      <c r="E5" s="7">
        <v>1050</v>
      </c>
      <c r="F5" s="7">
        <v>0</v>
      </c>
      <c r="G5" s="7">
        <v>1366</v>
      </c>
      <c r="H5" s="7">
        <v>29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si="1"/>
        <v>3.9216647466849677E-2</v>
      </c>
      <c r="S5" s="7">
        <f t="shared" si="0"/>
        <v>0.40523869049078004</v>
      </c>
      <c r="T5" s="7">
        <f t="shared" si="0"/>
        <v>1.149537978872031</v>
      </c>
      <c r="U5" s="7">
        <f t="shared" si="0"/>
        <v>0.85786416333733673</v>
      </c>
      <c r="V5" s="7">
        <f t="shared" si="0"/>
        <v>0</v>
      </c>
      <c r="W5" s="7">
        <f t="shared" si="0"/>
        <v>1.1160404258274303</v>
      </c>
      <c r="X5" s="7">
        <f t="shared" si="0"/>
        <v>2.3693391177888348E-2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2:29" x14ac:dyDescent="0.25">
      <c r="B6" s="7">
        <v>1</v>
      </c>
      <c r="C6" s="7">
        <v>0</v>
      </c>
      <c r="D6" s="7">
        <v>187</v>
      </c>
      <c r="E6" s="7">
        <v>2</v>
      </c>
      <c r="F6" s="7">
        <v>2</v>
      </c>
      <c r="G6" s="7">
        <v>5</v>
      </c>
      <c r="H6" s="7">
        <v>0</v>
      </c>
      <c r="I6" s="7">
        <v>0</v>
      </c>
      <c r="J6" s="7">
        <v>90</v>
      </c>
      <c r="K6" s="7">
        <v>0</v>
      </c>
      <c r="L6" s="7">
        <v>0</v>
      </c>
      <c r="M6" s="7">
        <v>0</v>
      </c>
      <c r="R6" s="7">
        <f t="shared" si="1"/>
        <v>8.1701348889270172E-4</v>
      </c>
      <c r="S6" s="7">
        <f t="shared" si="0"/>
        <v>0</v>
      </c>
      <c r="T6" s="7">
        <f t="shared" si="0"/>
        <v>0.15278152242293519</v>
      </c>
      <c r="U6" s="7">
        <f t="shared" si="0"/>
        <v>1.6340269777854034E-3</v>
      </c>
      <c r="V6" s="7">
        <f t="shared" si="0"/>
        <v>1.6340269777854034E-3</v>
      </c>
      <c r="W6" s="7">
        <f t="shared" si="0"/>
        <v>4.0850674444635081E-3</v>
      </c>
      <c r="X6" s="7">
        <f t="shared" si="0"/>
        <v>0</v>
      </c>
      <c r="Y6" s="7">
        <f t="shared" si="0"/>
        <v>0</v>
      </c>
      <c r="Z6" s="7">
        <f t="shared" si="0"/>
        <v>7.3531214000343154E-2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2:29" x14ac:dyDescent="0.25">
      <c r="B7" s="7">
        <v>946</v>
      </c>
      <c r="C7" s="7">
        <v>41</v>
      </c>
      <c r="D7" s="7">
        <v>1201</v>
      </c>
      <c r="E7" s="7">
        <v>347</v>
      </c>
      <c r="F7" s="7">
        <v>1</v>
      </c>
      <c r="G7" s="7">
        <v>5578</v>
      </c>
      <c r="H7" s="7">
        <v>232</v>
      </c>
      <c r="I7" s="7">
        <v>0</v>
      </c>
      <c r="J7" s="7">
        <v>0</v>
      </c>
      <c r="K7" s="7">
        <v>28</v>
      </c>
      <c r="L7" s="7">
        <v>0</v>
      </c>
      <c r="M7" s="7">
        <v>0</v>
      </c>
      <c r="R7" s="7">
        <f t="shared" si="1"/>
        <v>0.77289476049249572</v>
      </c>
      <c r="S7" s="7">
        <f t="shared" si="0"/>
        <v>3.3497553044600767E-2</v>
      </c>
      <c r="T7" s="7">
        <f t="shared" si="0"/>
        <v>0.9812332001601346</v>
      </c>
      <c r="U7" s="7">
        <f t="shared" si="0"/>
        <v>0.28350368064576748</v>
      </c>
      <c r="V7" s="7">
        <f t="shared" si="0"/>
        <v>8.1701348889270172E-4</v>
      </c>
      <c r="W7" s="7">
        <f t="shared" si="0"/>
        <v>4.5573012410434899</v>
      </c>
      <c r="X7" s="7">
        <f t="shared" si="0"/>
        <v>0.18954712942310678</v>
      </c>
      <c r="Y7" s="7">
        <f t="shared" si="0"/>
        <v>0</v>
      </c>
      <c r="Z7" s="7">
        <f t="shared" si="0"/>
        <v>0</v>
      </c>
      <c r="AA7" s="7">
        <f t="shared" si="0"/>
        <v>2.2876377688995645E-2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10</v>
      </c>
      <c r="C8" s="7">
        <v>0</v>
      </c>
      <c r="D8" s="7">
        <v>1</v>
      </c>
      <c r="E8" s="7">
        <v>3</v>
      </c>
      <c r="F8" s="7">
        <v>0</v>
      </c>
      <c r="G8" s="7">
        <v>1549</v>
      </c>
      <c r="H8" s="7">
        <v>1342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8.1701348889270161E-3</v>
      </c>
      <c r="S8" s="7">
        <f t="shared" si="0"/>
        <v>0</v>
      </c>
      <c r="T8" s="7">
        <f t="shared" si="0"/>
        <v>8.1701348889270172E-4</v>
      </c>
      <c r="U8" s="7">
        <f t="shared" si="0"/>
        <v>2.4510404666781048E-3</v>
      </c>
      <c r="V8" s="7">
        <f t="shared" si="0"/>
        <v>0</v>
      </c>
      <c r="W8" s="7">
        <f t="shared" si="0"/>
        <v>1.2655538942947948</v>
      </c>
      <c r="X8" s="7">
        <f t="shared" si="0"/>
        <v>1.0964321020940055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0</v>
      </c>
      <c r="C9" s="7">
        <v>0</v>
      </c>
      <c r="D9" s="7">
        <v>45</v>
      </c>
      <c r="E9" s="7">
        <v>0</v>
      </c>
      <c r="F9" s="7">
        <v>0</v>
      </c>
      <c r="G9" s="7">
        <v>7</v>
      </c>
      <c r="H9" s="7">
        <v>0</v>
      </c>
      <c r="I9" s="7">
        <v>6441</v>
      </c>
      <c r="J9" s="7">
        <v>5</v>
      </c>
      <c r="K9" s="7">
        <v>0</v>
      </c>
      <c r="L9" s="7">
        <v>0</v>
      </c>
      <c r="M9" s="7">
        <v>0</v>
      </c>
      <c r="R9" s="7">
        <f t="shared" si="1"/>
        <v>0</v>
      </c>
      <c r="S9" s="7">
        <f t="shared" si="0"/>
        <v>0</v>
      </c>
      <c r="T9" s="7">
        <f t="shared" si="0"/>
        <v>3.6765607000171577E-2</v>
      </c>
      <c r="U9" s="7">
        <f t="shared" si="0"/>
        <v>0</v>
      </c>
      <c r="V9" s="7">
        <f t="shared" si="0"/>
        <v>0</v>
      </c>
      <c r="W9" s="7">
        <f t="shared" si="0"/>
        <v>5.7190944222489113E-3</v>
      </c>
      <c r="X9" s="7">
        <f t="shared" si="0"/>
        <v>0</v>
      </c>
      <c r="Y9" s="7">
        <f t="shared" si="0"/>
        <v>5.2623838819578914</v>
      </c>
      <c r="Z9" s="7">
        <f t="shared" si="0"/>
        <v>4.0850674444635081E-3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3</v>
      </c>
      <c r="C10" s="7">
        <v>0</v>
      </c>
      <c r="D10" s="7">
        <v>30</v>
      </c>
      <c r="E10" s="7">
        <v>0</v>
      </c>
      <c r="F10" s="7">
        <v>3</v>
      </c>
      <c r="G10" s="7">
        <v>147</v>
      </c>
      <c r="H10" s="7">
        <v>0</v>
      </c>
      <c r="I10" s="7">
        <v>66</v>
      </c>
      <c r="J10" s="7">
        <v>348</v>
      </c>
      <c r="K10" s="7">
        <v>0</v>
      </c>
      <c r="L10" s="7">
        <v>0</v>
      </c>
      <c r="M10" s="7">
        <v>0</v>
      </c>
      <c r="R10" s="7">
        <f t="shared" si="1"/>
        <v>2.4510404666781048E-3</v>
      </c>
      <c r="S10" s="7">
        <f t="shared" si="0"/>
        <v>0</v>
      </c>
      <c r="T10" s="7">
        <f t="shared" si="0"/>
        <v>2.4510404666781047E-2</v>
      </c>
      <c r="U10" s="7">
        <f t="shared" si="0"/>
        <v>0</v>
      </c>
      <c r="V10" s="7">
        <f t="shared" si="0"/>
        <v>2.4510404666781048E-3</v>
      </c>
      <c r="W10" s="7">
        <f t="shared" si="0"/>
        <v>0.12010098286722713</v>
      </c>
      <c r="X10" s="7">
        <f t="shared" si="0"/>
        <v>0</v>
      </c>
      <c r="Y10" s="7">
        <f t="shared" si="0"/>
        <v>5.3922890266918308E-2</v>
      </c>
      <c r="Z10" s="7">
        <f t="shared" si="0"/>
        <v>0.28432069413466016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0</v>
      </c>
      <c r="C11" s="7">
        <v>0</v>
      </c>
      <c r="D11" s="7">
        <v>221</v>
      </c>
      <c r="E11" s="7">
        <v>0</v>
      </c>
      <c r="F11" s="7">
        <v>0</v>
      </c>
      <c r="G11" s="7">
        <v>14</v>
      </c>
      <c r="H11" s="7">
        <v>0</v>
      </c>
      <c r="I11" s="7">
        <v>0</v>
      </c>
      <c r="J11" s="7">
        <v>0</v>
      </c>
      <c r="K11" s="7">
        <v>706</v>
      </c>
      <c r="L11" s="7">
        <v>0</v>
      </c>
      <c r="M11" s="7">
        <v>0</v>
      </c>
      <c r="R11" s="7">
        <f t="shared" si="1"/>
        <v>0</v>
      </c>
      <c r="S11" s="7">
        <f t="shared" si="0"/>
        <v>0</v>
      </c>
      <c r="T11" s="7">
        <f t="shared" si="0"/>
        <v>0.18055998104528706</v>
      </c>
      <c r="U11" s="7">
        <f t="shared" si="0"/>
        <v>0</v>
      </c>
      <c r="V11" s="7">
        <f t="shared" si="0"/>
        <v>0</v>
      </c>
      <c r="W11" s="7">
        <f t="shared" si="0"/>
        <v>1.1438188844497823E-2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0.57681152315824735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21</v>
      </c>
      <c r="C12" s="7">
        <v>6</v>
      </c>
      <c r="D12" s="7">
        <v>50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167</v>
      </c>
      <c r="M12" s="7">
        <v>0</v>
      </c>
      <c r="R12" s="7">
        <f t="shared" si="1"/>
        <v>1.7157283266746731E-2</v>
      </c>
      <c r="S12" s="7">
        <f t="shared" si="0"/>
        <v>4.9020809333562097E-3</v>
      </c>
      <c r="T12" s="7">
        <f t="shared" si="0"/>
        <v>4.0850674444635082E-2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0.13644125264508117</v>
      </c>
      <c r="AC12" s="7">
        <f t="shared" si="0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6" spans="2:29" x14ac:dyDescent="0.25">
      <c r="B16" t="s">
        <v>26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74.784354550862588</v>
      </c>
      <c r="C19" s="7">
        <f t="shared" ref="C19:M19" si="2">IFERROR(C2/SUM(C$2:C$13)*100,0)</f>
        <v>18.068833652007648</v>
      </c>
      <c r="D19" s="7">
        <f t="shared" si="2"/>
        <v>2.7173779514016854</v>
      </c>
      <c r="E19" s="7">
        <f t="shared" si="2"/>
        <v>3.7037037037037033</v>
      </c>
      <c r="F19" s="7">
        <f t="shared" si="2"/>
        <v>0</v>
      </c>
      <c r="G19" s="7">
        <f t="shared" si="2"/>
        <v>7.2263753114816947</v>
      </c>
      <c r="H19" s="7">
        <f t="shared" si="2"/>
        <v>0</v>
      </c>
      <c r="I19" s="7">
        <f t="shared" si="2"/>
        <v>0</v>
      </c>
      <c r="J19" s="7">
        <f t="shared" si="2"/>
        <v>0</v>
      </c>
      <c r="K19" s="7">
        <f t="shared" si="2"/>
        <v>0</v>
      </c>
      <c r="L19" s="7">
        <f t="shared" si="2"/>
        <v>0.46948356807511737</v>
      </c>
      <c r="M19" s="7">
        <f t="shared" si="2"/>
        <v>0</v>
      </c>
      <c r="R19">
        <f>B2*'scoring matrix'!C4</f>
        <v>0</v>
      </c>
      <c r="S19">
        <f>C2*'scoring matrix'!D4</f>
        <v>1890</v>
      </c>
      <c r="T19">
        <f>D2*'scoring matrix'!E4</f>
        <v>7742</v>
      </c>
      <c r="U19">
        <f>E2*'scoring matrix'!F4</f>
        <v>228</v>
      </c>
      <c r="V19">
        <f>F2*'scoring matrix'!G4</f>
        <v>0</v>
      </c>
      <c r="W19">
        <f>G2*'scoring matrix'!H4</f>
        <v>2639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0</v>
      </c>
      <c r="AB19">
        <f>L2*'scoring matrix'!M4</f>
        <v>3.875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13.541046995835812</v>
      </c>
      <c r="C20" s="7">
        <f t="shared" si="3"/>
        <v>58.776290630975147</v>
      </c>
      <c r="D20" s="7">
        <f t="shared" si="3"/>
        <v>8.0857964177784325</v>
      </c>
      <c r="E20" s="7">
        <f t="shared" si="3"/>
        <v>1.6081871345029239</v>
      </c>
      <c r="F20" s="7">
        <f t="shared" si="3"/>
        <v>0</v>
      </c>
      <c r="G20" s="7">
        <f t="shared" si="3"/>
        <v>6.641748131109833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6.0869565217391308</v>
      </c>
      <c r="L20" s="7">
        <f t="shared" si="3"/>
        <v>7.981220657276995</v>
      </c>
      <c r="M20" s="7">
        <f t="shared" si="3"/>
        <v>0</v>
      </c>
      <c r="R20">
        <f>B3*'scoring matrix'!C5</f>
        <v>3642</v>
      </c>
      <c r="S20">
        <f>C3*'scoring matrix'!D5</f>
        <v>0</v>
      </c>
      <c r="T20">
        <f>D3*'scoring matrix'!E5</f>
        <v>15632.25</v>
      </c>
      <c r="U20">
        <f>E3*'scoring matrix'!F5</f>
        <v>90.75</v>
      </c>
      <c r="V20">
        <f>F3*'scoring matrix'!G5</f>
        <v>0</v>
      </c>
      <c r="W20">
        <f>G3*'scoring matrix'!H5</f>
        <v>2598.75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189</v>
      </c>
      <c r="AB20">
        <f>L3*'scoring matrix'!M5</f>
        <v>63.75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4.0229030339083875</v>
      </c>
      <c r="C21" s="7">
        <f t="shared" si="3"/>
        <v>12.772466539196941</v>
      </c>
      <c r="D21" s="7">
        <f t="shared" si="3"/>
        <v>85.336969607626344</v>
      </c>
      <c r="E21" s="7">
        <f t="shared" si="3"/>
        <v>26.364522417153996</v>
      </c>
      <c r="F21" s="7">
        <f t="shared" si="3"/>
        <v>14.285714285714285</v>
      </c>
      <c r="G21" s="7">
        <f t="shared" si="3"/>
        <v>3.076480736055204</v>
      </c>
      <c r="H21" s="7">
        <f t="shared" si="3"/>
        <v>0.7430340557275541</v>
      </c>
      <c r="I21" s="7">
        <f t="shared" si="3"/>
        <v>1.5365703749231713E-2</v>
      </c>
      <c r="J21" s="7">
        <f t="shared" si="3"/>
        <v>2.2075055187637971</v>
      </c>
      <c r="K21" s="7">
        <f t="shared" si="3"/>
        <v>22.995169082125607</v>
      </c>
      <c r="L21" s="7">
        <f t="shared" si="3"/>
        <v>13.145539906103288</v>
      </c>
      <c r="M21" s="7">
        <f t="shared" si="3"/>
        <v>0</v>
      </c>
      <c r="R21">
        <f>B4*'scoring matrix'!C6</f>
        <v>1893.5</v>
      </c>
      <c r="S21">
        <f>C4*'scoring matrix'!D6</f>
        <v>1586.5</v>
      </c>
      <c r="T21">
        <f>D4*'scoring matrix'!E6</f>
        <v>0</v>
      </c>
      <c r="U21">
        <f>E4*'scoring matrix'!F6</f>
        <v>1082</v>
      </c>
      <c r="V21">
        <f>F4*'scoring matrix'!G6</f>
        <v>3.5</v>
      </c>
      <c r="W21">
        <f>G4*'scoring matrix'!H6</f>
        <v>1123.5</v>
      </c>
      <c r="X21">
        <f>H4*'scoring matrix'!I6</f>
        <v>45</v>
      </c>
      <c r="Y21">
        <f>I4*'scoring matrix'!J6</f>
        <v>4</v>
      </c>
      <c r="Z21">
        <f>J4*'scoring matrix'!K6</f>
        <v>40</v>
      </c>
      <c r="AA21">
        <f>K4*'scoring matrix'!L6</f>
        <v>654.5</v>
      </c>
      <c r="AB21">
        <f>L4*'scoring matrix'!M6</f>
        <v>91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0.35693039857227837</v>
      </c>
      <c r="C22" s="7">
        <f t="shared" si="3"/>
        <v>9.4837476099426397</v>
      </c>
      <c r="D22" s="7">
        <f t="shared" si="3"/>
        <v>1.7284587602270214</v>
      </c>
      <c r="E22" s="7">
        <f t="shared" si="3"/>
        <v>51.169590643274852</v>
      </c>
      <c r="F22" s="7">
        <f t="shared" si="3"/>
        <v>0</v>
      </c>
      <c r="G22" s="7">
        <f t="shared" si="3"/>
        <v>13.091815219474794</v>
      </c>
      <c r="H22" s="7">
        <f t="shared" si="3"/>
        <v>1.7956656346749225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0</v>
      </c>
      <c r="R22">
        <f>B5*'scoring matrix'!C7</f>
        <v>144</v>
      </c>
      <c r="S22">
        <f>C5*'scoring matrix'!D7</f>
        <v>1364</v>
      </c>
      <c r="T22">
        <f>D5*'scoring matrix'!E7</f>
        <v>2814</v>
      </c>
      <c r="U22">
        <f>E5*'scoring matrix'!F7</f>
        <v>0</v>
      </c>
      <c r="V22">
        <f>F5*'scoring matrix'!G7</f>
        <v>0</v>
      </c>
      <c r="W22">
        <f>G5*'scoring matrix'!H7</f>
        <v>2732</v>
      </c>
      <c r="X22">
        <f>H5*'scoring matrix'!I7</f>
        <v>65.25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7.4360499702558003E-3</v>
      </c>
      <c r="C23" s="7">
        <f t="shared" si="3"/>
        <v>0</v>
      </c>
      <c r="D23" s="7">
        <f t="shared" si="3"/>
        <v>0.22972408540330702</v>
      </c>
      <c r="E23" s="7">
        <f t="shared" si="3"/>
        <v>9.7465886939571145E-2</v>
      </c>
      <c r="F23" s="7">
        <f t="shared" si="3"/>
        <v>28.571428571428569</v>
      </c>
      <c r="G23" s="7">
        <f t="shared" si="3"/>
        <v>4.7920260686218137E-2</v>
      </c>
      <c r="H23" s="7">
        <f t="shared" si="3"/>
        <v>0</v>
      </c>
      <c r="I23" s="7">
        <f t="shared" si="3"/>
        <v>0</v>
      </c>
      <c r="J23" s="7">
        <f t="shared" si="3"/>
        <v>19.867549668874172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3.75</v>
      </c>
      <c r="S23">
        <f>C6*'scoring matrix'!D8</f>
        <v>0</v>
      </c>
      <c r="T23">
        <f>D6*'scoring matrix'!E8</f>
        <v>654.5</v>
      </c>
      <c r="U23">
        <f>E6*'scoring matrix'!F8</f>
        <v>5</v>
      </c>
      <c r="V23">
        <f>F6*'scoring matrix'!G8</f>
        <v>0</v>
      </c>
      <c r="W23">
        <f>G6*'scoring matrix'!H8</f>
        <v>13.125</v>
      </c>
      <c r="X23">
        <f>H6*'scoring matrix'!I8</f>
        <v>0</v>
      </c>
      <c r="Y23">
        <f>I6*'scoring matrix'!J8</f>
        <v>0</v>
      </c>
      <c r="Z23">
        <f>J6*'scoring matrix'!K8</f>
        <v>292.5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7.0345032718619871</v>
      </c>
      <c r="C24" s="7">
        <f t="shared" si="3"/>
        <v>0.78393881453154879</v>
      </c>
      <c r="D24" s="7">
        <f t="shared" si="3"/>
        <v>1.4753937249699025</v>
      </c>
      <c r="E24" s="7">
        <f t="shared" si="3"/>
        <v>16.910331384015596</v>
      </c>
      <c r="F24" s="7">
        <f t="shared" si="3"/>
        <v>14.285714285714285</v>
      </c>
      <c r="G24" s="7">
        <f t="shared" si="3"/>
        <v>53.459842821544946</v>
      </c>
      <c r="H24" s="7">
        <f t="shared" si="3"/>
        <v>14.36532507739938</v>
      </c>
      <c r="I24" s="7">
        <f t="shared" si="3"/>
        <v>0</v>
      </c>
      <c r="J24" s="7">
        <f t="shared" si="3"/>
        <v>0</v>
      </c>
      <c r="K24" s="7">
        <f t="shared" si="3"/>
        <v>2.7053140096618358</v>
      </c>
      <c r="L24" s="7">
        <f t="shared" si="3"/>
        <v>0</v>
      </c>
      <c r="M24" s="7">
        <f t="shared" si="3"/>
        <v>0</v>
      </c>
      <c r="P24" s="2"/>
      <c r="R24">
        <f>B7*'scoring matrix'!C9</f>
        <v>3311</v>
      </c>
      <c r="S24">
        <f>C7*'scoring matrix'!D9</f>
        <v>153.75</v>
      </c>
      <c r="T24">
        <f>D7*'scoring matrix'!E9</f>
        <v>4203.5</v>
      </c>
      <c r="U24">
        <f>E7*'scoring matrix'!F9</f>
        <v>694</v>
      </c>
      <c r="V24">
        <f>F7*'scoring matrix'!G9</f>
        <v>2.625</v>
      </c>
      <c r="W24">
        <f>G7*'scoring matrix'!H9</f>
        <v>0</v>
      </c>
      <c r="X24">
        <f>H7*'scoring matrix'!I9</f>
        <v>319</v>
      </c>
      <c r="Y24">
        <f>I7*'scoring matrix'!J9</f>
        <v>0</v>
      </c>
      <c r="Z24">
        <f>J7*'scoring matrix'!K9</f>
        <v>0</v>
      </c>
      <c r="AA24">
        <f>K7*'scoring matrix'!L9</f>
        <v>98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7.4360499702557994E-2</v>
      </c>
      <c r="C25" s="7">
        <f t="shared" si="3"/>
        <v>0</v>
      </c>
      <c r="D25" s="7">
        <f t="shared" si="3"/>
        <v>1.2284710449374707E-3</v>
      </c>
      <c r="E25" s="7">
        <f t="shared" si="3"/>
        <v>0.14619883040935672</v>
      </c>
      <c r="F25" s="7">
        <f t="shared" si="3"/>
        <v>0</v>
      </c>
      <c r="G25" s="7">
        <f t="shared" si="3"/>
        <v>14.845696760590377</v>
      </c>
      <c r="H25" s="7">
        <f t="shared" si="3"/>
        <v>83.095975232198143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35</v>
      </c>
      <c r="S25">
        <f>C8*'scoring matrix'!D10</f>
        <v>0</v>
      </c>
      <c r="T25">
        <f>D8*'scoring matrix'!E10</f>
        <v>3.75</v>
      </c>
      <c r="U25">
        <f>E8*'scoring matrix'!F10</f>
        <v>6.75</v>
      </c>
      <c r="V25">
        <f>F8*'scoring matrix'!G10</f>
        <v>0</v>
      </c>
      <c r="W25">
        <f>G8*'scoring matrix'!H10</f>
        <v>2129.875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62307.625</v>
      </c>
    </row>
    <row r="26" spans="1:31" ht="23.25" customHeight="1" x14ac:dyDescent="0.25">
      <c r="A26" s="3" t="s">
        <v>7</v>
      </c>
      <c r="B26" s="7">
        <f t="shared" si="3"/>
        <v>0</v>
      </c>
      <c r="C26" s="7">
        <f t="shared" si="3"/>
        <v>0</v>
      </c>
      <c r="D26" s="7">
        <f t="shared" si="3"/>
        <v>5.5281197022186188E-2</v>
      </c>
      <c r="E26" s="7">
        <f t="shared" si="3"/>
        <v>0</v>
      </c>
      <c r="F26" s="7">
        <f t="shared" si="3"/>
        <v>0</v>
      </c>
      <c r="G26" s="7">
        <f t="shared" si="3"/>
        <v>6.7088364960705388E-2</v>
      </c>
      <c r="H26" s="7">
        <f t="shared" si="3"/>
        <v>0</v>
      </c>
      <c r="I26" s="7">
        <f t="shared" si="3"/>
        <v>98.970497848801472</v>
      </c>
      <c r="J26" s="7">
        <f t="shared" si="3"/>
        <v>1.1037527593818985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0</v>
      </c>
      <c r="S26">
        <f>C9*'scoring matrix'!D11</f>
        <v>0</v>
      </c>
      <c r="T26">
        <f>D9*'scoring matrix'!E11</f>
        <v>180</v>
      </c>
      <c r="U26">
        <f>E9*'scoring matrix'!F11</f>
        <v>0</v>
      </c>
      <c r="V26">
        <f>F9*'scoring matrix'!G11</f>
        <v>0</v>
      </c>
      <c r="W26">
        <f>G9*'scoring matrix'!H11</f>
        <v>28</v>
      </c>
      <c r="X26">
        <f>H9*'scoring matrix'!I11</f>
        <v>0</v>
      </c>
      <c r="Y26">
        <f>I9*'scoring matrix'!J11</f>
        <v>0</v>
      </c>
      <c r="Z26">
        <f>J9*'scoring matrix'!K11</f>
        <v>13.75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2.2308149910767398E-2</v>
      </c>
      <c r="C27" s="7">
        <f t="shared" si="3"/>
        <v>0</v>
      </c>
      <c r="D27" s="7">
        <f t="shared" si="3"/>
        <v>3.6854131348124125E-2</v>
      </c>
      <c r="E27" s="7">
        <f t="shared" si="3"/>
        <v>0</v>
      </c>
      <c r="F27" s="7">
        <f t="shared" si="3"/>
        <v>42.857142857142854</v>
      </c>
      <c r="G27" s="7">
        <f t="shared" si="3"/>
        <v>1.4088556641748131</v>
      </c>
      <c r="H27" s="7">
        <f t="shared" si="3"/>
        <v>0</v>
      </c>
      <c r="I27" s="7">
        <f t="shared" si="3"/>
        <v>1.0141364474492931</v>
      </c>
      <c r="J27" s="7">
        <f t="shared" si="3"/>
        <v>76.821192052980138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12</v>
      </c>
      <c r="S27">
        <f>C10*'scoring matrix'!D12</f>
        <v>0</v>
      </c>
      <c r="T27">
        <f>D10*'scoring matrix'!E12</f>
        <v>120</v>
      </c>
      <c r="U27">
        <f>E10*'scoring matrix'!F12</f>
        <v>0</v>
      </c>
      <c r="V27">
        <f>F10*'scoring matrix'!G12</f>
        <v>9.75</v>
      </c>
      <c r="W27">
        <f>G10*'scoring matrix'!H12</f>
        <v>551.25</v>
      </c>
      <c r="X27">
        <f>H10*'scoring matrix'!I12</f>
        <v>0</v>
      </c>
      <c r="Y27">
        <f>I10*'scoring matrix'!J12</f>
        <v>181.5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0</v>
      </c>
      <c r="C28" s="7">
        <f t="shared" si="3"/>
        <v>0</v>
      </c>
      <c r="D28" s="7">
        <f t="shared" si="3"/>
        <v>0.27149210093118104</v>
      </c>
      <c r="E28" s="7">
        <f t="shared" si="3"/>
        <v>0</v>
      </c>
      <c r="F28" s="7">
        <f t="shared" si="3"/>
        <v>0</v>
      </c>
      <c r="G28" s="7">
        <f t="shared" si="3"/>
        <v>0.13417672992141078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68.212560386473427</v>
      </c>
      <c r="L28" s="7">
        <f t="shared" si="3"/>
        <v>0</v>
      </c>
      <c r="M28" s="7">
        <f t="shared" si="3"/>
        <v>0</v>
      </c>
      <c r="R28">
        <f>B11*'scoring matrix'!C13</f>
        <v>0</v>
      </c>
      <c r="S28">
        <f>C11*'scoring matrix'!D13</f>
        <v>0</v>
      </c>
      <c r="T28">
        <f>D11*'scoring matrix'!E13</f>
        <v>607.75</v>
      </c>
      <c r="U28">
        <f>E11*'scoring matrix'!F13</f>
        <v>0</v>
      </c>
      <c r="V28">
        <f>F11*'scoring matrix'!G13</f>
        <v>0</v>
      </c>
      <c r="W28">
        <f>G11*'scoring matrix'!H13</f>
        <v>49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0.15615704937537181</v>
      </c>
      <c r="C29" s="7">
        <f t="shared" si="3"/>
        <v>0.11472275334608031</v>
      </c>
      <c r="D29" s="7">
        <f t="shared" si="3"/>
        <v>6.1423552246873549E-2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78.403755868544607</v>
      </c>
      <c r="M29" s="7">
        <f t="shared" si="3"/>
        <v>0</v>
      </c>
      <c r="R29">
        <f>B12*'scoring matrix'!C14</f>
        <v>81.375</v>
      </c>
      <c r="S29">
        <f>C12*'scoring matrix'!D14</f>
        <v>22.5</v>
      </c>
      <c r="T29">
        <f>D12*'scoring matrix'!E14</f>
        <v>162.5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1"/>
  <sheetViews>
    <sheetView workbookViewId="0">
      <selection activeCell="R19" sqref="R19:AE30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10697</v>
      </c>
      <c r="C2" s="7">
        <v>2314</v>
      </c>
      <c r="D2" s="7">
        <v>716</v>
      </c>
      <c r="E2" s="7">
        <v>182</v>
      </c>
      <c r="F2" s="7">
        <v>0</v>
      </c>
      <c r="G2" s="7">
        <v>136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8">
        <f>SUM(B2:M13)</f>
        <v>122397</v>
      </c>
      <c r="R2" s="7">
        <f>B2/$O$2*100</f>
        <v>8.7395932906852298</v>
      </c>
      <c r="S2" s="7">
        <f t="shared" ref="S2:AC2" si="0">C2/$O$2*100</f>
        <v>1.8905692132977117</v>
      </c>
      <c r="T2" s="7">
        <f t="shared" si="0"/>
        <v>0.58498165804717439</v>
      </c>
      <c r="U2" s="7">
        <f t="shared" si="0"/>
        <v>0.1486964549784717</v>
      </c>
      <c r="V2" s="7">
        <f t="shared" si="0"/>
        <v>0</v>
      </c>
      <c r="W2" s="7">
        <f t="shared" si="0"/>
        <v>0.11111383448940743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0</v>
      </c>
      <c r="AC2" s="7">
        <f t="shared" si="0"/>
        <v>0</v>
      </c>
    </row>
    <row r="3" spans="2:29" x14ac:dyDescent="0.25">
      <c r="B3" s="7">
        <v>2920</v>
      </c>
      <c r="C3" s="7">
        <v>3557</v>
      </c>
      <c r="D3" s="7">
        <v>5392</v>
      </c>
      <c r="E3" s="7">
        <v>309</v>
      </c>
      <c r="F3" s="7">
        <v>0</v>
      </c>
      <c r="G3" s="7">
        <v>59</v>
      </c>
      <c r="H3" s="7">
        <v>0</v>
      </c>
      <c r="I3" s="7">
        <v>0</v>
      </c>
      <c r="J3" s="7">
        <v>0</v>
      </c>
      <c r="K3" s="7">
        <v>21</v>
      </c>
      <c r="L3" s="7">
        <v>25</v>
      </c>
      <c r="M3" s="7">
        <v>0</v>
      </c>
      <c r="R3" s="7">
        <f t="shared" ref="R3:R4" si="1">B3/$O$2*100</f>
        <v>2.3856793875666886</v>
      </c>
      <c r="S3" s="7">
        <f t="shared" ref="S3:S4" si="2">C3/$O$2*100</f>
        <v>2.9061169799913396</v>
      </c>
      <c r="T3" s="7">
        <f t="shared" ref="T3" si="3">D3/$O$2*100</f>
        <v>4.405336732109447</v>
      </c>
      <c r="U3" s="7">
        <f t="shared" ref="U3:U4" si="4">E3/$O$2*100</f>
        <v>0.25245716806784479</v>
      </c>
      <c r="V3" s="7">
        <f t="shared" ref="V3:V4" si="5">F3/$O$2*100</f>
        <v>0</v>
      </c>
      <c r="W3" s="7">
        <f t="shared" ref="W3:W4" si="6">G3/$O$2*100</f>
        <v>4.8203795844669398E-2</v>
      </c>
      <c r="X3" s="7">
        <f t="shared" ref="X3:X4" si="7">H3/$O$2*100</f>
        <v>0</v>
      </c>
      <c r="Y3" s="7">
        <f t="shared" ref="Y3:Y4" si="8">I3/$O$2*100</f>
        <v>0</v>
      </c>
      <c r="Z3" s="7">
        <f t="shared" ref="Z3:Z4" si="9">J3/$O$2*100</f>
        <v>0</v>
      </c>
      <c r="AA3" s="7">
        <f t="shared" ref="AA3:AA4" si="10">K3/$O$2*100</f>
        <v>1.7157283266746731E-2</v>
      </c>
      <c r="AB3" s="7">
        <f t="shared" ref="AB3:AB4" si="11">L3/$O$2*100</f>
        <v>2.0425337222317541E-2</v>
      </c>
      <c r="AC3" s="7">
        <f t="shared" ref="AC3:AC4" si="12">M3/$O$2*100</f>
        <v>0</v>
      </c>
    </row>
    <row r="4" spans="2:29" x14ac:dyDescent="0.25">
      <c r="B4" s="7">
        <v>1206</v>
      </c>
      <c r="C4" s="7">
        <v>1354</v>
      </c>
      <c r="D4" s="7">
        <v>66892</v>
      </c>
      <c r="E4" s="7">
        <v>1710</v>
      </c>
      <c r="F4" s="7">
        <v>11</v>
      </c>
      <c r="G4" s="7">
        <v>315</v>
      </c>
      <c r="H4" s="7">
        <v>0</v>
      </c>
      <c r="I4" s="7">
        <v>11</v>
      </c>
      <c r="J4" s="7">
        <v>7</v>
      </c>
      <c r="K4" s="7">
        <v>288</v>
      </c>
      <c r="L4" s="7">
        <v>33</v>
      </c>
      <c r="M4" s="7">
        <v>0</v>
      </c>
      <c r="R4" s="7">
        <f t="shared" si="1"/>
        <v>0.98531826760459817</v>
      </c>
      <c r="S4" s="7">
        <f t="shared" si="2"/>
        <v>1.1062362639607182</v>
      </c>
      <c r="T4" s="7">
        <f>D4/$O$2*100</f>
        <v>54.651666299010593</v>
      </c>
      <c r="U4" s="7">
        <f t="shared" si="4"/>
        <v>1.3970930660065197</v>
      </c>
      <c r="V4" s="7">
        <f t="shared" si="5"/>
        <v>8.9871483778197186E-3</v>
      </c>
      <c r="W4" s="7">
        <f t="shared" si="6"/>
        <v>0.257359249001201</v>
      </c>
      <c r="X4" s="7">
        <f t="shared" si="7"/>
        <v>0</v>
      </c>
      <c r="Y4" s="7">
        <f t="shared" si="8"/>
        <v>8.9871483778197186E-3</v>
      </c>
      <c r="Z4" s="7">
        <f t="shared" si="9"/>
        <v>5.7190944222489113E-3</v>
      </c>
      <c r="AA4" s="7">
        <f t="shared" si="10"/>
        <v>0.23529988480109806</v>
      </c>
      <c r="AB4" s="7">
        <f t="shared" si="11"/>
        <v>2.6961445133459154E-2</v>
      </c>
      <c r="AC4" s="7">
        <f t="shared" si="12"/>
        <v>0</v>
      </c>
    </row>
    <row r="5" spans="2:29" x14ac:dyDescent="0.25">
      <c r="B5" s="7">
        <v>28</v>
      </c>
      <c r="C5" s="7">
        <v>186</v>
      </c>
      <c r="D5" s="7">
        <v>1915</v>
      </c>
      <c r="E5" s="7">
        <v>969</v>
      </c>
      <c r="F5" s="7">
        <v>7</v>
      </c>
      <c r="G5" s="7">
        <v>1251</v>
      </c>
      <c r="H5" s="7">
        <v>40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ref="R5:R13" si="13">B5/$O$2*100</f>
        <v>2.2876377688995645E-2</v>
      </c>
      <c r="S5" s="7">
        <f t="shared" ref="S5:S13" si="14">C5/$O$2*100</f>
        <v>0.15196450893404251</v>
      </c>
      <c r="T5" s="7">
        <f t="shared" ref="T5:T13" si="15">D5/$O$2*100</f>
        <v>1.5645808312295235</v>
      </c>
      <c r="U5" s="7">
        <f t="shared" ref="U5:U13" si="16">E5/$O$2*100</f>
        <v>0.79168607073702779</v>
      </c>
      <c r="V5" s="7">
        <f t="shared" ref="V5:V13" si="17">F5/$O$2*100</f>
        <v>5.7190944222489113E-3</v>
      </c>
      <c r="W5" s="7">
        <f t="shared" ref="W5:W13" si="18">G5/$O$2*100</f>
        <v>1.0220838746047698</v>
      </c>
      <c r="X5" s="7">
        <f t="shared" ref="X5:X13" si="19">H5/$O$2*100</f>
        <v>3.2680539555708064E-2</v>
      </c>
      <c r="Y5" s="7">
        <f t="shared" ref="Y5:Y13" si="20">I5/$O$2*100</f>
        <v>0</v>
      </c>
      <c r="Z5" s="7">
        <f t="shared" ref="Z5:Z13" si="21">J5/$O$2*100</f>
        <v>0</v>
      </c>
      <c r="AA5" s="7">
        <f t="shared" ref="AA5:AA13" si="22">K5/$O$2*100</f>
        <v>0</v>
      </c>
      <c r="AB5" s="7">
        <f t="shared" ref="AB5:AB13" si="23">L5/$O$2*100</f>
        <v>0</v>
      </c>
      <c r="AC5" s="7">
        <f t="shared" ref="AC5:AC13" si="24">M5/$O$2*100</f>
        <v>0</v>
      </c>
    </row>
    <row r="6" spans="2:29" x14ac:dyDescent="0.25">
      <c r="B6" s="7">
        <v>10</v>
      </c>
      <c r="C6" s="7">
        <v>13</v>
      </c>
      <c r="D6" s="7">
        <v>208</v>
      </c>
      <c r="E6" s="7">
        <v>1</v>
      </c>
      <c r="F6" s="7">
        <v>0</v>
      </c>
      <c r="G6" s="7">
        <v>27</v>
      </c>
      <c r="H6" s="7">
        <v>0</v>
      </c>
      <c r="I6" s="7">
        <v>2</v>
      </c>
      <c r="J6" s="7">
        <v>26</v>
      </c>
      <c r="K6" s="7">
        <v>0</v>
      </c>
      <c r="L6" s="7">
        <v>0</v>
      </c>
      <c r="M6" s="7">
        <v>0</v>
      </c>
      <c r="R6" s="7">
        <f t="shared" si="13"/>
        <v>8.1701348889270161E-3</v>
      </c>
      <c r="S6" s="7">
        <f t="shared" si="14"/>
        <v>1.062117535560512E-2</v>
      </c>
      <c r="T6" s="7">
        <f t="shared" si="15"/>
        <v>0.16993880568968192</v>
      </c>
      <c r="U6" s="7">
        <f t="shared" si="16"/>
        <v>8.1701348889270172E-4</v>
      </c>
      <c r="V6" s="7">
        <f t="shared" si="17"/>
        <v>0</v>
      </c>
      <c r="W6" s="7">
        <f t="shared" si="18"/>
        <v>2.2059364200102943E-2</v>
      </c>
      <c r="X6" s="7">
        <f t="shared" si="19"/>
        <v>0</v>
      </c>
      <c r="Y6" s="7">
        <f t="shared" si="20"/>
        <v>1.6340269777854034E-3</v>
      </c>
      <c r="Z6" s="7">
        <f t="shared" si="21"/>
        <v>2.124235071121024E-2</v>
      </c>
      <c r="AA6" s="7">
        <f t="shared" si="22"/>
        <v>0</v>
      </c>
      <c r="AB6" s="7">
        <f t="shared" si="23"/>
        <v>0</v>
      </c>
      <c r="AC6" s="7">
        <f t="shared" si="24"/>
        <v>0</v>
      </c>
    </row>
    <row r="7" spans="2:29" x14ac:dyDescent="0.25">
      <c r="B7" s="7">
        <v>754</v>
      </c>
      <c r="C7" s="7">
        <v>88</v>
      </c>
      <c r="D7" s="7">
        <v>713</v>
      </c>
      <c r="E7" s="7">
        <v>682</v>
      </c>
      <c r="F7" s="7">
        <v>137</v>
      </c>
      <c r="G7" s="7">
        <v>5344</v>
      </c>
      <c r="H7" s="7">
        <v>640</v>
      </c>
      <c r="I7" s="7">
        <v>0</v>
      </c>
      <c r="J7" s="7">
        <v>0</v>
      </c>
      <c r="K7" s="7">
        <v>16</v>
      </c>
      <c r="L7" s="7">
        <v>0</v>
      </c>
      <c r="M7" s="7">
        <v>0</v>
      </c>
      <c r="R7" s="7">
        <f t="shared" si="13"/>
        <v>0.61602817062509696</v>
      </c>
      <c r="S7" s="7">
        <f t="shared" si="14"/>
        <v>7.1897187022557749E-2</v>
      </c>
      <c r="T7" s="7">
        <f t="shared" si="15"/>
        <v>0.58253061758049618</v>
      </c>
      <c r="U7" s="7">
        <f t="shared" si="16"/>
        <v>0.55720319942482255</v>
      </c>
      <c r="V7" s="7">
        <f t="shared" si="17"/>
        <v>0.11193084797830012</v>
      </c>
      <c r="W7" s="7">
        <f t="shared" si="18"/>
        <v>4.3661200846425974</v>
      </c>
      <c r="X7" s="7">
        <f t="shared" si="19"/>
        <v>0.52288863289132903</v>
      </c>
      <c r="Y7" s="7">
        <f t="shared" si="20"/>
        <v>0</v>
      </c>
      <c r="Z7" s="7">
        <f t="shared" si="21"/>
        <v>0</v>
      </c>
      <c r="AA7" s="7">
        <f t="shared" si="22"/>
        <v>1.3072215822283227E-2</v>
      </c>
      <c r="AB7" s="7">
        <f t="shared" si="23"/>
        <v>0</v>
      </c>
      <c r="AC7" s="7">
        <f t="shared" si="24"/>
        <v>0</v>
      </c>
    </row>
    <row r="8" spans="2:29" x14ac:dyDescent="0.25">
      <c r="B8" s="7">
        <v>5</v>
      </c>
      <c r="C8" s="7">
        <v>0</v>
      </c>
      <c r="D8" s="7">
        <v>0</v>
      </c>
      <c r="E8" s="7">
        <v>96</v>
      </c>
      <c r="F8" s="7">
        <v>0</v>
      </c>
      <c r="G8" s="7">
        <v>1650</v>
      </c>
      <c r="H8" s="7">
        <v>1154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3"/>
        <v>4.0850674444635081E-3</v>
      </c>
      <c r="S8" s="7">
        <f t="shared" si="14"/>
        <v>0</v>
      </c>
      <c r="T8" s="7">
        <f t="shared" si="15"/>
        <v>0</v>
      </c>
      <c r="U8" s="7">
        <f t="shared" si="16"/>
        <v>7.8433294933699355E-2</v>
      </c>
      <c r="V8" s="7">
        <f t="shared" si="17"/>
        <v>0</v>
      </c>
      <c r="W8" s="7">
        <f t="shared" si="18"/>
        <v>1.3480722566729577</v>
      </c>
      <c r="X8" s="7">
        <f t="shared" si="19"/>
        <v>0.94283356618217773</v>
      </c>
      <c r="Y8" s="7">
        <f t="shared" si="20"/>
        <v>0</v>
      </c>
      <c r="Z8" s="7">
        <f t="shared" si="21"/>
        <v>0</v>
      </c>
      <c r="AA8" s="7">
        <f t="shared" si="22"/>
        <v>0</v>
      </c>
      <c r="AB8" s="7">
        <f t="shared" si="23"/>
        <v>0</v>
      </c>
      <c r="AC8" s="7">
        <f t="shared" si="24"/>
        <v>0</v>
      </c>
    </row>
    <row r="9" spans="2:29" x14ac:dyDescent="0.25">
      <c r="B9" s="7">
        <v>29</v>
      </c>
      <c r="C9" s="7">
        <v>7</v>
      </c>
      <c r="D9" s="7">
        <v>11</v>
      </c>
      <c r="E9" s="7">
        <v>0</v>
      </c>
      <c r="F9" s="7">
        <v>0</v>
      </c>
      <c r="G9" s="7">
        <v>1</v>
      </c>
      <c r="H9" s="7">
        <v>0</v>
      </c>
      <c r="I9" s="7">
        <v>6442</v>
      </c>
      <c r="J9" s="7">
        <v>8</v>
      </c>
      <c r="K9" s="7">
        <v>0</v>
      </c>
      <c r="L9" s="7">
        <v>0</v>
      </c>
      <c r="M9" s="7">
        <v>0</v>
      </c>
      <c r="R9" s="7">
        <f t="shared" si="13"/>
        <v>2.3693391177888348E-2</v>
      </c>
      <c r="S9" s="7">
        <f t="shared" si="14"/>
        <v>5.7190944222489113E-3</v>
      </c>
      <c r="T9" s="7">
        <f t="shared" si="15"/>
        <v>8.9871483778197186E-3</v>
      </c>
      <c r="U9" s="7">
        <f t="shared" si="16"/>
        <v>0</v>
      </c>
      <c r="V9" s="7">
        <f t="shared" si="17"/>
        <v>0</v>
      </c>
      <c r="W9" s="7">
        <f t="shared" si="18"/>
        <v>8.1701348889270172E-4</v>
      </c>
      <c r="X9" s="7">
        <f t="shared" si="19"/>
        <v>0</v>
      </c>
      <c r="Y9" s="7">
        <f t="shared" si="20"/>
        <v>5.2632008954467837</v>
      </c>
      <c r="Z9" s="7">
        <f t="shared" si="21"/>
        <v>6.5361079111416137E-3</v>
      </c>
      <c r="AA9" s="7">
        <f t="shared" si="22"/>
        <v>0</v>
      </c>
      <c r="AB9" s="7">
        <f t="shared" si="23"/>
        <v>0</v>
      </c>
      <c r="AC9" s="7">
        <f t="shared" si="24"/>
        <v>0</v>
      </c>
    </row>
    <row r="10" spans="2:29" x14ac:dyDescent="0.25">
      <c r="B10" s="7">
        <v>23</v>
      </c>
      <c r="C10" s="7">
        <v>0</v>
      </c>
      <c r="D10" s="7">
        <v>8</v>
      </c>
      <c r="E10" s="7">
        <v>0</v>
      </c>
      <c r="F10" s="7">
        <v>90</v>
      </c>
      <c r="G10" s="7">
        <v>90</v>
      </c>
      <c r="H10" s="7">
        <v>0</v>
      </c>
      <c r="I10" s="7">
        <v>91</v>
      </c>
      <c r="J10" s="7">
        <v>295</v>
      </c>
      <c r="K10" s="7">
        <v>0</v>
      </c>
      <c r="L10" s="7">
        <v>0</v>
      </c>
      <c r="M10" s="7">
        <v>0</v>
      </c>
      <c r="R10" s="7">
        <f t="shared" si="13"/>
        <v>1.8791310244532136E-2</v>
      </c>
      <c r="S10" s="7">
        <f t="shared" si="14"/>
        <v>0</v>
      </c>
      <c r="T10" s="7">
        <f t="shared" si="15"/>
        <v>6.5361079111416137E-3</v>
      </c>
      <c r="U10" s="7">
        <f t="shared" si="16"/>
        <v>0</v>
      </c>
      <c r="V10" s="7">
        <f t="shared" si="17"/>
        <v>7.3531214000343154E-2</v>
      </c>
      <c r="W10" s="7">
        <f t="shared" si="18"/>
        <v>7.3531214000343154E-2</v>
      </c>
      <c r="X10" s="7">
        <f t="shared" si="19"/>
        <v>0</v>
      </c>
      <c r="Y10" s="7">
        <f t="shared" si="20"/>
        <v>7.4348227489235849E-2</v>
      </c>
      <c r="Z10" s="7">
        <f t="shared" si="21"/>
        <v>0.24101897922334697</v>
      </c>
      <c r="AA10" s="7">
        <f t="shared" si="22"/>
        <v>0</v>
      </c>
      <c r="AB10" s="7">
        <f t="shared" si="23"/>
        <v>0</v>
      </c>
      <c r="AC10" s="7">
        <f t="shared" si="24"/>
        <v>0</v>
      </c>
    </row>
    <row r="11" spans="2:29" x14ac:dyDescent="0.25">
      <c r="B11" s="7">
        <v>91</v>
      </c>
      <c r="C11" s="7">
        <v>16</v>
      </c>
      <c r="D11" s="7">
        <v>285</v>
      </c>
      <c r="E11" s="7">
        <v>0</v>
      </c>
      <c r="F11" s="7">
        <v>0</v>
      </c>
      <c r="G11" s="7">
        <v>31</v>
      </c>
      <c r="H11" s="7">
        <v>0</v>
      </c>
      <c r="I11" s="7">
        <v>0</v>
      </c>
      <c r="J11" s="7">
        <v>0</v>
      </c>
      <c r="K11" s="7">
        <v>518</v>
      </c>
      <c r="L11" s="7">
        <v>0</v>
      </c>
      <c r="M11" s="7">
        <v>0</v>
      </c>
      <c r="R11" s="7">
        <f t="shared" si="13"/>
        <v>7.4348227489235849E-2</v>
      </c>
      <c r="S11" s="7">
        <f t="shared" si="14"/>
        <v>1.3072215822283227E-2</v>
      </c>
      <c r="T11" s="7">
        <f t="shared" si="15"/>
        <v>0.23284884433441996</v>
      </c>
      <c r="U11" s="7">
        <f t="shared" si="16"/>
        <v>0</v>
      </c>
      <c r="V11" s="7">
        <f t="shared" si="17"/>
        <v>0</v>
      </c>
      <c r="W11" s="7">
        <f t="shared" si="18"/>
        <v>2.5327418155673753E-2</v>
      </c>
      <c r="X11" s="7">
        <f t="shared" si="19"/>
        <v>0</v>
      </c>
      <c r="Y11" s="7">
        <f t="shared" si="20"/>
        <v>0</v>
      </c>
      <c r="Z11" s="7">
        <f t="shared" si="21"/>
        <v>0</v>
      </c>
      <c r="AA11" s="7">
        <f t="shared" si="22"/>
        <v>0.42321298724641943</v>
      </c>
      <c r="AB11" s="7">
        <f t="shared" si="23"/>
        <v>0</v>
      </c>
      <c r="AC11" s="7">
        <f t="shared" si="24"/>
        <v>0</v>
      </c>
    </row>
    <row r="12" spans="2:29" x14ac:dyDescent="0.25">
      <c r="B12" s="7">
        <v>16</v>
      </c>
      <c r="C12" s="7">
        <v>9</v>
      </c>
      <c r="D12" s="7">
        <v>30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189</v>
      </c>
      <c r="M12" s="7">
        <v>0</v>
      </c>
      <c r="R12" s="7">
        <f t="shared" si="13"/>
        <v>1.3072215822283227E-2</v>
      </c>
      <c r="S12" s="7">
        <f t="shared" si="14"/>
        <v>7.3531214000343145E-3</v>
      </c>
      <c r="T12" s="7">
        <f t="shared" si="15"/>
        <v>2.4510404666781047E-2</v>
      </c>
      <c r="U12" s="7">
        <f t="shared" si="16"/>
        <v>0</v>
      </c>
      <c r="V12" s="7">
        <f t="shared" si="17"/>
        <v>0</v>
      </c>
      <c r="W12" s="7">
        <f t="shared" si="18"/>
        <v>0</v>
      </c>
      <c r="X12" s="7">
        <f t="shared" si="19"/>
        <v>0</v>
      </c>
      <c r="Y12" s="7">
        <f t="shared" si="20"/>
        <v>0</v>
      </c>
      <c r="Z12" s="7">
        <f t="shared" si="21"/>
        <v>0</v>
      </c>
      <c r="AA12" s="7">
        <f t="shared" si="22"/>
        <v>0</v>
      </c>
      <c r="AB12" s="7">
        <f t="shared" si="23"/>
        <v>0.15441554940072061</v>
      </c>
      <c r="AC12" s="7">
        <f t="shared" si="24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3"/>
        <v>0</v>
      </c>
      <c r="S13" s="7">
        <f t="shared" si="14"/>
        <v>0</v>
      </c>
      <c r="T13" s="7">
        <f t="shared" si="15"/>
        <v>0</v>
      </c>
      <c r="U13" s="7">
        <f t="shared" si="16"/>
        <v>0</v>
      </c>
      <c r="V13" s="7">
        <f t="shared" si="17"/>
        <v>0</v>
      </c>
      <c r="W13" s="7">
        <f t="shared" si="18"/>
        <v>0</v>
      </c>
      <c r="X13" s="7">
        <f t="shared" si="19"/>
        <v>0</v>
      </c>
      <c r="Y13" s="7">
        <f t="shared" si="20"/>
        <v>0</v>
      </c>
      <c r="Z13" s="7">
        <f t="shared" si="21"/>
        <v>0</v>
      </c>
      <c r="AA13" s="7">
        <f t="shared" si="22"/>
        <v>0</v>
      </c>
      <c r="AB13" s="7">
        <f t="shared" si="23"/>
        <v>0</v>
      </c>
      <c r="AC13" s="7">
        <f t="shared" si="24"/>
        <v>0</v>
      </c>
    </row>
    <row r="16" spans="2:29" x14ac:dyDescent="0.25">
      <c r="B16" t="s">
        <v>0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67.792635781735228</v>
      </c>
      <c r="C19" s="7">
        <f t="shared" ref="C19:M19" si="25">IFERROR(C2/SUM(C$2:C$13)*100,0)</f>
        <v>30.673382820784727</v>
      </c>
      <c r="D19" s="7">
        <f t="shared" si="25"/>
        <v>0.94000262570565829</v>
      </c>
      <c r="E19" s="7">
        <f t="shared" si="25"/>
        <v>4.6087617118257791</v>
      </c>
      <c r="F19" s="7">
        <f t="shared" si="25"/>
        <v>0</v>
      </c>
      <c r="G19" s="7">
        <f t="shared" si="25"/>
        <v>1.527403414195867</v>
      </c>
      <c r="H19" s="7">
        <f t="shared" si="25"/>
        <v>0</v>
      </c>
      <c r="I19" s="7">
        <f t="shared" si="25"/>
        <v>0</v>
      </c>
      <c r="J19" s="7">
        <f t="shared" si="25"/>
        <v>0</v>
      </c>
      <c r="K19" s="7">
        <f t="shared" si="25"/>
        <v>0</v>
      </c>
      <c r="L19" s="7">
        <f t="shared" si="25"/>
        <v>0</v>
      </c>
      <c r="M19" s="7">
        <f t="shared" si="25"/>
        <v>0</v>
      </c>
      <c r="R19">
        <f>B2*'scoring matrix'!C4</f>
        <v>0</v>
      </c>
      <c r="S19">
        <f>C2*'scoring matrix'!D4</f>
        <v>4628</v>
      </c>
      <c r="T19">
        <f>D2*'scoring matrix'!E4</f>
        <v>2506</v>
      </c>
      <c r="U19">
        <f>E2*'scoring matrix'!F4</f>
        <v>546</v>
      </c>
      <c r="V19">
        <f>F2*'scoring matrix'!G4</f>
        <v>0</v>
      </c>
      <c r="W19">
        <f>G2*'scoring matrix'!H4</f>
        <v>476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0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26">IFERROR(B3/SUM(B$2:B$13)*100,0)</f>
        <v>18.505608720451232</v>
      </c>
      <c r="C20" s="7">
        <f t="shared" si="26"/>
        <v>47.150053022269347</v>
      </c>
      <c r="D20" s="7">
        <f t="shared" si="26"/>
        <v>7.0789024550347914</v>
      </c>
      <c r="E20" s="7">
        <f t="shared" si="26"/>
        <v>7.8247657634844261</v>
      </c>
      <c r="F20" s="7">
        <f t="shared" si="26"/>
        <v>0</v>
      </c>
      <c r="G20" s="7">
        <f t="shared" si="26"/>
        <v>0.66262353998203061</v>
      </c>
      <c r="H20" s="7">
        <f t="shared" si="26"/>
        <v>0</v>
      </c>
      <c r="I20" s="7">
        <f t="shared" si="26"/>
        <v>0</v>
      </c>
      <c r="J20" s="7">
        <f t="shared" si="26"/>
        <v>0</v>
      </c>
      <c r="K20" s="7">
        <f t="shared" si="26"/>
        <v>2.4911032028469751</v>
      </c>
      <c r="L20" s="7">
        <f t="shared" si="26"/>
        <v>10.121457489878543</v>
      </c>
      <c r="M20" s="7">
        <f t="shared" si="26"/>
        <v>0</v>
      </c>
      <c r="R20">
        <f>B3*'scoring matrix'!C5</f>
        <v>5840</v>
      </c>
      <c r="S20">
        <f>C3*'scoring matrix'!D5</f>
        <v>0</v>
      </c>
      <c r="T20">
        <f>D3*'scoring matrix'!E5</f>
        <v>12806</v>
      </c>
      <c r="U20">
        <f>E3*'scoring matrix'!F5</f>
        <v>849.75</v>
      </c>
      <c r="V20">
        <f>F3*'scoring matrix'!G5</f>
        <v>0</v>
      </c>
      <c r="W20">
        <f>G3*'scoring matrix'!H5</f>
        <v>221.25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63</v>
      </c>
      <c r="AB20">
        <f>L3*'scoring matrix'!M5</f>
        <v>93.75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26"/>
        <v>7.6430699030356806</v>
      </c>
      <c r="C21" s="7">
        <f t="shared" si="26"/>
        <v>17.948038176033933</v>
      </c>
      <c r="D21" s="7">
        <f t="shared" si="26"/>
        <v>87.819351450702371</v>
      </c>
      <c r="E21" s="7">
        <f t="shared" si="26"/>
        <v>43.302101797923527</v>
      </c>
      <c r="F21" s="7">
        <f t="shared" si="26"/>
        <v>4.4897959183673466</v>
      </c>
      <c r="G21" s="7">
        <f t="shared" si="26"/>
        <v>3.5377358490566038</v>
      </c>
      <c r="H21" s="7">
        <f t="shared" si="26"/>
        <v>0</v>
      </c>
      <c r="I21" s="7">
        <f t="shared" si="26"/>
        <v>0.16804155209288116</v>
      </c>
      <c r="J21" s="7">
        <f t="shared" si="26"/>
        <v>2.083333333333333</v>
      </c>
      <c r="K21" s="7">
        <f t="shared" si="26"/>
        <v>34.163701067615662</v>
      </c>
      <c r="L21" s="7">
        <f t="shared" si="26"/>
        <v>13.360323886639677</v>
      </c>
      <c r="M21" s="7">
        <f t="shared" si="26"/>
        <v>0</v>
      </c>
      <c r="R21">
        <f>B4*'scoring matrix'!C6</f>
        <v>4221</v>
      </c>
      <c r="S21">
        <f>C4*'scoring matrix'!D6</f>
        <v>3215.75</v>
      </c>
      <c r="T21">
        <f>D4*'scoring matrix'!E6</f>
        <v>0</v>
      </c>
      <c r="U21">
        <f>E4*'scoring matrix'!F6</f>
        <v>3420</v>
      </c>
      <c r="V21">
        <f>F4*'scoring matrix'!G6</f>
        <v>38.5</v>
      </c>
      <c r="W21">
        <f>G4*'scoring matrix'!H6</f>
        <v>1102.5</v>
      </c>
      <c r="X21">
        <f>H4*'scoring matrix'!I6</f>
        <v>0</v>
      </c>
      <c r="Y21">
        <f>I4*'scoring matrix'!J6</f>
        <v>44</v>
      </c>
      <c r="Z21">
        <f>J4*'scoring matrix'!K6</f>
        <v>28</v>
      </c>
      <c r="AA21">
        <f>K4*'scoring matrix'!L6</f>
        <v>792</v>
      </c>
      <c r="AB21">
        <f>L4*'scoring matrix'!M6</f>
        <v>107.25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26"/>
        <v>0.17745104252487484</v>
      </c>
      <c r="C22" s="7">
        <f t="shared" si="26"/>
        <v>2.4655355249204667</v>
      </c>
      <c r="D22" s="7">
        <f t="shared" si="26"/>
        <v>2.5141131679138771</v>
      </c>
      <c r="E22" s="7">
        <f t="shared" si="26"/>
        <v>24.537857685489996</v>
      </c>
      <c r="F22" s="7">
        <f t="shared" si="26"/>
        <v>2.8571428571428572</v>
      </c>
      <c r="G22" s="7">
        <f t="shared" si="26"/>
        <v>14.049865229110511</v>
      </c>
      <c r="H22" s="7">
        <f t="shared" si="26"/>
        <v>2.1810250817884405</v>
      </c>
      <c r="I22" s="7">
        <f t="shared" si="26"/>
        <v>0</v>
      </c>
      <c r="J22" s="7">
        <f t="shared" si="26"/>
        <v>0</v>
      </c>
      <c r="K22" s="7">
        <f t="shared" si="26"/>
        <v>0</v>
      </c>
      <c r="L22" s="7">
        <f t="shared" si="26"/>
        <v>0</v>
      </c>
      <c r="M22" s="7">
        <f t="shared" si="26"/>
        <v>0</v>
      </c>
      <c r="R22">
        <f>B5*'scoring matrix'!C7</f>
        <v>84</v>
      </c>
      <c r="S22">
        <f>C5*'scoring matrix'!D7</f>
        <v>511.5</v>
      </c>
      <c r="T22">
        <f>D5*'scoring matrix'!E7</f>
        <v>3830</v>
      </c>
      <c r="U22">
        <f>E5*'scoring matrix'!F7</f>
        <v>0</v>
      </c>
      <c r="V22">
        <f>F5*'scoring matrix'!G7</f>
        <v>17.5</v>
      </c>
      <c r="W22">
        <f>G5*'scoring matrix'!H7</f>
        <v>2502</v>
      </c>
      <c r="X22">
        <f>H5*'scoring matrix'!I7</f>
        <v>90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26"/>
        <v>6.3375372330312443E-2</v>
      </c>
      <c r="C23" s="7">
        <f t="shared" si="26"/>
        <v>0.17232237539766701</v>
      </c>
      <c r="D23" s="7">
        <f t="shared" si="26"/>
        <v>0.27307338847315216</v>
      </c>
      <c r="E23" s="7">
        <f t="shared" si="26"/>
        <v>2.5322866548493288E-2</v>
      </c>
      <c r="F23" s="7">
        <f t="shared" si="26"/>
        <v>0</v>
      </c>
      <c r="G23" s="7">
        <f t="shared" si="26"/>
        <v>0.30323450134770891</v>
      </c>
      <c r="H23" s="7">
        <f t="shared" si="26"/>
        <v>0</v>
      </c>
      <c r="I23" s="7">
        <f t="shared" si="26"/>
        <v>3.0553009471432937E-2</v>
      </c>
      <c r="J23" s="7">
        <f t="shared" si="26"/>
        <v>7.7380952380952381</v>
      </c>
      <c r="K23" s="7">
        <f t="shared" si="26"/>
        <v>0</v>
      </c>
      <c r="L23" s="7">
        <f t="shared" si="26"/>
        <v>0</v>
      </c>
      <c r="M23" s="7">
        <f t="shared" si="26"/>
        <v>0</v>
      </c>
      <c r="R23">
        <f>B6*'scoring matrix'!C8</f>
        <v>37.5</v>
      </c>
      <c r="S23">
        <f>C6*'scoring matrix'!D8</f>
        <v>52</v>
      </c>
      <c r="T23">
        <f>D6*'scoring matrix'!E8</f>
        <v>728</v>
      </c>
      <c r="U23">
        <f>E6*'scoring matrix'!F8</f>
        <v>2.5</v>
      </c>
      <c r="V23">
        <f>F6*'scoring matrix'!G8</f>
        <v>0</v>
      </c>
      <c r="W23">
        <f>G6*'scoring matrix'!H8</f>
        <v>70.875</v>
      </c>
      <c r="X23">
        <f>H6*'scoring matrix'!I8</f>
        <v>0</v>
      </c>
      <c r="Y23">
        <f>I6*'scoring matrix'!J8</f>
        <v>7.5</v>
      </c>
      <c r="Z23">
        <f>J6*'scoring matrix'!K8</f>
        <v>84.5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26"/>
        <v>4.7785030737055578</v>
      </c>
      <c r="C24" s="7">
        <f t="shared" si="26"/>
        <v>1.166489925768823</v>
      </c>
      <c r="D24" s="7">
        <f t="shared" si="26"/>
        <v>0.93606406721806479</v>
      </c>
      <c r="E24" s="7">
        <f t="shared" si="26"/>
        <v>17.270194986072422</v>
      </c>
      <c r="F24" s="7">
        <f t="shared" si="26"/>
        <v>55.91836734693878</v>
      </c>
      <c r="G24" s="7">
        <f t="shared" si="26"/>
        <v>60.01796945193172</v>
      </c>
      <c r="H24" s="7">
        <f t="shared" si="26"/>
        <v>34.896401308615047</v>
      </c>
      <c r="I24" s="7">
        <f t="shared" si="26"/>
        <v>0</v>
      </c>
      <c r="J24" s="7">
        <f t="shared" si="26"/>
        <v>0</v>
      </c>
      <c r="K24" s="7">
        <f t="shared" si="26"/>
        <v>1.8979833926453145</v>
      </c>
      <c r="L24" s="7">
        <f t="shared" si="26"/>
        <v>0</v>
      </c>
      <c r="M24" s="7">
        <f t="shared" si="26"/>
        <v>0</v>
      </c>
      <c r="P24" s="2"/>
      <c r="R24">
        <f>B7*'scoring matrix'!C9</f>
        <v>2639</v>
      </c>
      <c r="S24">
        <f>C7*'scoring matrix'!D9</f>
        <v>330</v>
      </c>
      <c r="T24">
        <f>D7*'scoring matrix'!E9</f>
        <v>2495.5</v>
      </c>
      <c r="U24">
        <f>E7*'scoring matrix'!F9</f>
        <v>1364</v>
      </c>
      <c r="V24">
        <f>F7*'scoring matrix'!G9</f>
        <v>359.625</v>
      </c>
      <c r="W24">
        <f>G7*'scoring matrix'!H9</f>
        <v>0</v>
      </c>
      <c r="X24">
        <f>H7*'scoring matrix'!I9</f>
        <v>880</v>
      </c>
      <c r="Y24">
        <f>I7*'scoring matrix'!J9</f>
        <v>0</v>
      </c>
      <c r="Z24">
        <f>J7*'scoring matrix'!K9</f>
        <v>0</v>
      </c>
      <c r="AA24">
        <f>K7*'scoring matrix'!L9</f>
        <v>56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26"/>
        <v>3.1687686165156222E-2</v>
      </c>
      <c r="C25" s="7">
        <f t="shared" si="26"/>
        <v>0</v>
      </c>
      <c r="D25" s="7">
        <f t="shared" si="26"/>
        <v>0</v>
      </c>
      <c r="E25" s="7">
        <f t="shared" si="26"/>
        <v>2.430995188655356</v>
      </c>
      <c r="F25" s="7">
        <f t="shared" si="26"/>
        <v>0</v>
      </c>
      <c r="G25" s="7">
        <f t="shared" si="26"/>
        <v>18.530997304582211</v>
      </c>
      <c r="H25" s="7">
        <f t="shared" si="26"/>
        <v>62.922573609596512</v>
      </c>
      <c r="I25" s="7">
        <f t="shared" si="26"/>
        <v>0</v>
      </c>
      <c r="J25" s="7">
        <f t="shared" si="26"/>
        <v>0</v>
      </c>
      <c r="K25" s="7">
        <f t="shared" si="26"/>
        <v>0</v>
      </c>
      <c r="L25" s="7">
        <f t="shared" si="26"/>
        <v>0</v>
      </c>
      <c r="M25" s="7">
        <f t="shared" si="26"/>
        <v>0</v>
      </c>
      <c r="R25">
        <f>B8*'scoring matrix'!C10</f>
        <v>17.5</v>
      </c>
      <c r="S25">
        <f>C8*'scoring matrix'!D10</f>
        <v>0</v>
      </c>
      <c r="T25">
        <f>D8*'scoring matrix'!E10</f>
        <v>0</v>
      </c>
      <c r="U25">
        <f>E8*'scoring matrix'!F10</f>
        <v>216</v>
      </c>
      <c r="V25">
        <f>F8*'scoring matrix'!G10</f>
        <v>0</v>
      </c>
      <c r="W25">
        <f>G8*'scoring matrix'!H10</f>
        <v>2268.75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62221.375</v>
      </c>
    </row>
    <row r="26" spans="1:31" ht="23.25" customHeight="1" x14ac:dyDescent="0.25">
      <c r="A26" s="3" t="s">
        <v>7</v>
      </c>
      <c r="B26" s="7">
        <f t="shared" si="26"/>
        <v>0.18378857975790608</v>
      </c>
      <c r="C26" s="7">
        <f t="shared" si="26"/>
        <v>9.2788971367974551E-2</v>
      </c>
      <c r="D26" s="7">
        <f t="shared" si="26"/>
        <v>1.4441381121176315E-2</v>
      </c>
      <c r="E26" s="7">
        <f t="shared" si="26"/>
        <v>0</v>
      </c>
      <c r="F26" s="7">
        <f t="shared" si="26"/>
        <v>0</v>
      </c>
      <c r="G26" s="7">
        <f t="shared" si="26"/>
        <v>1.1230907457322553E-2</v>
      </c>
      <c r="H26" s="7">
        <f t="shared" si="26"/>
        <v>0</v>
      </c>
      <c r="I26" s="7">
        <f t="shared" si="26"/>
        <v>98.411243507485494</v>
      </c>
      <c r="J26" s="7">
        <f t="shared" si="26"/>
        <v>2.3809523809523809</v>
      </c>
      <c r="K26" s="7">
        <f t="shared" si="26"/>
        <v>0</v>
      </c>
      <c r="L26" s="7">
        <f t="shared" si="26"/>
        <v>0</v>
      </c>
      <c r="M26" s="7">
        <f t="shared" si="26"/>
        <v>0</v>
      </c>
      <c r="R26">
        <f>B9*'scoring matrix'!C11</f>
        <v>116</v>
      </c>
      <c r="S26">
        <f>C9*'scoring matrix'!D11</f>
        <v>27.125</v>
      </c>
      <c r="T26">
        <f>D9*'scoring matrix'!E11</f>
        <v>44</v>
      </c>
      <c r="U26">
        <f>E9*'scoring matrix'!F11</f>
        <v>0</v>
      </c>
      <c r="V26">
        <f>F9*'scoring matrix'!G11</f>
        <v>0</v>
      </c>
      <c r="W26">
        <f>G9*'scoring matrix'!H11</f>
        <v>4</v>
      </c>
      <c r="X26">
        <f>H9*'scoring matrix'!I11</f>
        <v>0</v>
      </c>
      <c r="Y26">
        <f>I9*'scoring matrix'!J11</f>
        <v>0</v>
      </c>
      <c r="Z26">
        <f>J9*'scoring matrix'!K11</f>
        <v>22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26"/>
        <v>0.1457633563597186</v>
      </c>
      <c r="C27" s="7">
        <f t="shared" si="26"/>
        <v>0</v>
      </c>
      <c r="D27" s="7">
        <f t="shared" si="26"/>
        <v>1.0502822633582775E-2</v>
      </c>
      <c r="E27" s="7">
        <f t="shared" si="26"/>
        <v>0</v>
      </c>
      <c r="F27" s="7">
        <f t="shared" si="26"/>
        <v>36.734693877551024</v>
      </c>
      <c r="G27" s="7">
        <f t="shared" si="26"/>
        <v>1.0107816711590296</v>
      </c>
      <c r="H27" s="7">
        <f t="shared" si="26"/>
        <v>0</v>
      </c>
      <c r="I27" s="7">
        <f t="shared" si="26"/>
        <v>1.3901619309501985</v>
      </c>
      <c r="J27" s="7">
        <f t="shared" si="26"/>
        <v>87.797619047619051</v>
      </c>
      <c r="K27" s="7">
        <f t="shared" si="26"/>
        <v>0</v>
      </c>
      <c r="L27" s="7">
        <f t="shared" si="26"/>
        <v>0</v>
      </c>
      <c r="M27" s="7">
        <f t="shared" si="26"/>
        <v>0</v>
      </c>
      <c r="R27">
        <f>B10*'scoring matrix'!C12</f>
        <v>92</v>
      </c>
      <c r="S27">
        <f>C10*'scoring matrix'!D12</f>
        <v>0</v>
      </c>
      <c r="T27">
        <f>D10*'scoring matrix'!E12</f>
        <v>32</v>
      </c>
      <c r="U27">
        <f>E10*'scoring matrix'!F12</f>
        <v>0</v>
      </c>
      <c r="V27">
        <f>F10*'scoring matrix'!G12</f>
        <v>292.5</v>
      </c>
      <c r="W27">
        <f>G10*'scoring matrix'!H12</f>
        <v>337.5</v>
      </c>
      <c r="X27">
        <f>H10*'scoring matrix'!I12</f>
        <v>0</v>
      </c>
      <c r="Y27">
        <f>I10*'scoring matrix'!J12</f>
        <v>250.25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26"/>
        <v>0.57671588820584319</v>
      </c>
      <c r="C28" s="7">
        <f t="shared" si="26"/>
        <v>0.21208907741251329</v>
      </c>
      <c r="D28" s="7">
        <f t="shared" si="26"/>
        <v>0.37416305632138636</v>
      </c>
      <c r="E28" s="7">
        <f t="shared" si="26"/>
        <v>0</v>
      </c>
      <c r="F28" s="7">
        <f t="shared" si="26"/>
        <v>0</v>
      </c>
      <c r="G28" s="7">
        <f t="shared" si="26"/>
        <v>0.34815813117699912</v>
      </c>
      <c r="H28" s="7">
        <f t="shared" si="26"/>
        <v>0</v>
      </c>
      <c r="I28" s="7">
        <f t="shared" si="26"/>
        <v>0</v>
      </c>
      <c r="J28" s="7">
        <f t="shared" si="26"/>
        <v>0</v>
      </c>
      <c r="K28" s="7">
        <f t="shared" si="26"/>
        <v>61.447212336892051</v>
      </c>
      <c r="L28" s="7">
        <f t="shared" si="26"/>
        <v>0</v>
      </c>
      <c r="M28" s="7">
        <f t="shared" si="26"/>
        <v>0</v>
      </c>
      <c r="R28">
        <f>B11*'scoring matrix'!C13</f>
        <v>227.5</v>
      </c>
      <c r="S28">
        <f>C11*'scoring matrix'!D13</f>
        <v>48</v>
      </c>
      <c r="T28">
        <f>D11*'scoring matrix'!E13</f>
        <v>783.75</v>
      </c>
      <c r="U28">
        <f>E11*'scoring matrix'!F13</f>
        <v>0</v>
      </c>
      <c r="V28">
        <f>F11*'scoring matrix'!G13</f>
        <v>0</v>
      </c>
      <c r="W28">
        <f>G11*'scoring matrix'!H13</f>
        <v>108.5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26"/>
        <v>0.1014005957284999</v>
      </c>
      <c r="C29" s="7">
        <f t="shared" si="26"/>
        <v>0.11930010604453871</v>
      </c>
      <c r="D29" s="7">
        <f t="shared" si="26"/>
        <v>3.9385584875935409E-2</v>
      </c>
      <c r="E29" s="7">
        <f t="shared" si="26"/>
        <v>0</v>
      </c>
      <c r="F29" s="7">
        <f t="shared" si="26"/>
        <v>0</v>
      </c>
      <c r="G29" s="7">
        <f t="shared" si="26"/>
        <v>0</v>
      </c>
      <c r="H29" s="7">
        <f t="shared" si="26"/>
        <v>0</v>
      </c>
      <c r="I29" s="7">
        <f t="shared" si="26"/>
        <v>0</v>
      </c>
      <c r="J29" s="7">
        <f t="shared" si="26"/>
        <v>0</v>
      </c>
      <c r="K29" s="7">
        <f t="shared" si="26"/>
        <v>0</v>
      </c>
      <c r="L29" s="7">
        <f t="shared" si="26"/>
        <v>76.518218623481786</v>
      </c>
      <c r="M29" s="7">
        <f t="shared" si="26"/>
        <v>0</v>
      </c>
      <c r="R29">
        <f>B12*'scoring matrix'!C14</f>
        <v>62</v>
      </c>
      <c r="S29">
        <f>C12*'scoring matrix'!D14</f>
        <v>33.75</v>
      </c>
      <c r="T29">
        <f>D12*'scoring matrix'!E14</f>
        <v>97.5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26"/>
        <v>0</v>
      </c>
      <c r="C30" s="7">
        <f t="shared" si="26"/>
        <v>0</v>
      </c>
      <c r="D30" s="7">
        <f t="shared" si="26"/>
        <v>0</v>
      </c>
      <c r="E30" s="7">
        <f t="shared" si="26"/>
        <v>0</v>
      </c>
      <c r="F30" s="7">
        <f t="shared" si="26"/>
        <v>0</v>
      </c>
      <c r="G30" s="7">
        <f t="shared" si="26"/>
        <v>0</v>
      </c>
      <c r="H30" s="7">
        <f t="shared" si="26"/>
        <v>0</v>
      </c>
      <c r="I30" s="7">
        <f t="shared" si="26"/>
        <v>0</v>
      </c>
      <c r="J30" s="7">
        <f t="shared" si="26"/>
        <v>0</v>
      </c>
      <c r="K30" s="7">
        <f t="shared" si="26"/>
        <v>0</v>
      </c>
      <c r="L30" s="7">
        <f t="shared" si="26"/>
        <v>0</v>
      </c>
      <c r="M30" s="7">
        <f t="shared" si="26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14">
      <colorScale>
        <cfvo type="num" val="0"/>
        <cfvo type="num" val="1"/>
        <color rgb="FFFF7128"/>
        <color theme="9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1230-1453-4272-A62A-62B09A6F96A6}">
  <dimension ref="A2:AE31"/>
  <sheetViews>
    <sheetView workbookViewId="0">
      <selection activeCell="R19" sqref="R19:AE30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11115</v>
      </c>
      <c r="C2" s="7">
        <v>419</v>
      </c>
      <c r="D2" s="7">
        <v>1907</v>
      </c>
      <c r="E2" s="7">
        <v>93</v>
      </c>
      <c r="F2" s="7">
        <v>0</v>
      </c>
      <c r="G2" s="7">
        <v>501</v>
      </c>
      <c r="H2" s="7">
        <v>0</v>
      </c>
      <c r="I2" s="7">
        <v>0</v>
      </c>
      <c r="J2" s="7">
        <v>1</v>
      </c>
      <c r="K2" s="7">
        <v>9</v>
      </c>
      <c r="L2" s="7">
        <v>0</v>
      </c>
      <c r="M2" s="7">
        <v>0</v>
      </c>
      <c r="O2" s="8">
        <f>SUM(B2:M13)</f>
        <v>122397</v>
      </c>
      <c r="R2" s="7">
        <f>B2/$O$2*100</f>
        <v>9.0811049290423789</v>
      </c>
      <c r="S2" s="7">
        <f t="shared" ref="S2:AC13" si="0">C2/$O$2*100</f>
        <v>0.342328651846042</v>
      </c>
      <c r="T2" s="7">
        <f t="shared" si="0"/>
        <v>1.5580447233183821</v>
      </c>
      <c r="U2" s="7">
        <f t="shared" si="0"/>
        <v>7.5982254467021254E-2</v>
      </c>
      <c r="V2" s="7">
        <f t="shared" si="0"/>
        <v>0</v>
      </c>
      <c r="W2" s="7">
        <f t="shared" si="0"/>
        <v>0.40932375793524356</v>
      </c>
      <c r="X2" s="7">
        <f t="shared" si="0"/>
        <v>0</v>
      </c>
      <c r="Y2" s="7">
        <f t="shared" si="0"/>
        <v>0</v>
      </c>
      <c r="Z2" s="7">
        <f t="shared" si="0"/>
        <v>8.1701348889270172E-4</v>
      </c>
      <c r="AA2" s="7">
        <f t="shared" si="0"/>
        <v>7.3531214000343145E-3</v>
      </c>
      <c r="AB2" s="7">
        <f t="shared" si="0"/>
        <v>0</v>
      </c>
      <c r="AC2" s="7">
        <f t="shared" si="0"/>
        <v>0</v>
      </c>
    </row>
    <row r="3" spans="2:29" x14ac:dyDescent="0.25">
      <c r="B3" s="7">
        <v>1640</v>
      </c>
      <c r="C3" s="7">
        <v>1875</v>
      </c>
      <c r="D3" s="7">
        <v>8235</v>
      </c>
      <c r="E3" s="7">
        <v>293</v>
      </c>
      <c r="F3" s="7">
        <v>0</v>
      </c>
      <c r="G3" s="7">
        <v>81</v>
      </c>
      <c r="H3" s="7">
        <v>0</v>
      </c>
      <c r="I3" s="7">
        <v>0</v>
      </c>
      <c r="J3" s="7">
        <v>0</v>
      </c>
      <c r="K3" s="7">
        <v>145</v>
      </c>
      <c r="L3" s="7">
        <v>14</v>
      </c>
      <c r="M3" s="7">
        <v>0</v>
      </c>
      <c r="R3" s="7">
        <f t="shared" ref="R3:R13" si="1">B3/$O$2*100</f>
        <v>1.3399021217840308</v>
      </c>
      <c r="S3" s="7">
        <f t="shared" si="0"/>
        <v>1.5319002916738156</v>
      </c>
      <c r="T3" s="7">
        <f t="shared" si="0"/>
        <v>6.7281060810313971</v>
      </c>
      <c r="U3" s="7">
        <f t="shared" si="0"/>
        <v>0.23938495224556156</v>
      </c>
      <c r="V3" s="7">
        <f t="shared" si="0"/>
        <v>0</v>
      </c>
      <c r="W3" s="7">
        <f t="shared" si="0"/>
        <v>6.6178092600308824E-2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0.11846695588944173</v>
      </c>
      <c r="AB3" s="7">
        <f t="shared" si="0"/>
        <v>1.1438188844497823E-2</v>
      </c>
      <c r="AC3" s="7">
        <f t="shared" si="0"/>
        <v>0</v>
      </c>
    </row>
    <row r="4" spans="2:29" x14ac:dyDescent="0.25">
      <c r="B4" s="7">
        <v>500</v>
      </c>
      <c r="C4" s="7">
        <v>301</v>
      </c>
      <c r="D4" s="7">
        <v>68422</v>
      </c>
      <c r="E4" s="7">
        <v>2030</v>
      </c>
      <c r="F4" s="7">
        <v>0</v>
      </c>
      <c r="G4" s="7">
        <v>306</v>
      </c>
      <c r="H4" s="7">
        <v>55</v>
      </c>
      <c r="I4" s="7">
        <v>2</v>
      </c>
      <c r="J4" s="7">
        <v>11</v>
      </c>
      <c r="K4" s="7">
        <v>172</v>
      </c>
      <c r="L4" s="7">
        <v>28</v>
      </c>
      <c r="M4" s="7">
        <v>0</v>
      </c>
      <c r="R4" s="7">
        <f t="shared" si="1"/>
        <v>0.40850674444635082</v>
      </c>
      <c r="S4" s="7">
        <f t="shared" si="0"/>
        <v>0.24592106015670318</v>
      </c>
      <c r="T4" s="7">
        <f>D4/$O$2*100</f>
        <v>55.901696937016432</v>
      </c>
      <c r="U4" s="7">
        <f t="shared" si="0"/>
        <v>1.6585373824521843</v>
      </c>
      <c r="V4" s="7">
        <f t="shared" si="0"/>
        <v>0</v>
      </c>
      <c r="W4" s="7">
        <f t="shared" si="0"/>
        <v>0.25000612760116669</v>
      </c>
      <c r="X4" s="7">
        <f t="shared" si="0"/>
        <v>4.4935741889098588E-2</v>
      </c>
      <c r="Y4" s="7">
        <f t="shared" si="0"/>
        <v>1.6340269777854034E-3</v>
      </c>
      <c r="Z4" s="7">
        <f t="shared" si="0"/>
        <v>8.9871483778197186E-3</v>
      </c>
      <c r="AA4" s="7">
        <f t="shared" si="0"/>
        <v>0.14052632008954469</v>
      </c>
      <c r="AB4" s="7">
        <f t="shared" si="0"/>
        <v>2.2876377688995645E-2</v>
      </c>
      <c r="AC4" s="7">
        <f t="shared" si="0"/>
        <v>0</v>
      </c>
    </row>
    <row r="5" spans="2:29" x14ac:dyDescent="0.25">
      <c r="B5" s="7">
        <v>15</v>
      </c>
      <c r="C5" s="7">
        <v>189</v>
      </c>
      <c r="D5" s="7">
        <v>1579</v>
      </c>
      <c r="E5" s="7">
        <v>1476</v>
      </c>
      <c r="F5" s="7">
        <v>0</v>
      </c>
      <c r="G5" s="7">
        <v>1038</v>
      </c>
      <c r="H5" s="7">
        <v>99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si="1"/>
        <v>1.2255202333390523E-2</v>
      </c>
      <c r="S5" s="7">
        <f t="shared" si="0"/>
        <v>0.15441554940072061</v>
      </c>
      <c r="T5" s="7">
        <f t="shared" si="0"/>
        <v>1.2900642989615758</v>
      </c>
      <c r="U5" s="7">
        <f t="shared" si="0"/>
        <v>1.2059119096056277</v>
      </c>
      <c r="V5" s="7">
        <f t="shared" si="0"/>
        <v>0</v>
      </c>
      <c r="W5" s="7">
        <f t="shared" si="0"/>
        <v>0.84806000147062433</v>
      </c>
      <c r="X5" s="7">
        <f t="shared" si="0"/>
        <v>8.0884335400377455E-2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2:29" x14ac:dyDescent="0.25">
      <c r="B6" s="7">
        <v>13</v>
      </c>
      <c r="C6" s="7">
        <v>0</v>
      </c>
      <c r="D6" s="7">
        <v>136</v>
      </c>
      <c r="E6" s="7">
        <v>1</v>
      </c>
      <c r="F6" s="7">
        <v>2</v>
      </c>
      <c r="G6" s="7">
        <v>127</v>
      </c>
      <c r="H6" s="7">
        <v>0</v>
      </c>
      <c r="I6" s="7">
        <v>0</v>
      </c>
      <c r="J6" s="7">
        <v>8</v>
      </c>
      <c r="K6" s="7">
        <v>0</v>
      </c>
      <c r="L6" s="7">
        <v>0</v>
      </c>
      <c r="M6" s="7">
        <v>0</v>
      </c>
      <c r="R6" s="7">
        <f t="shared" si="1"/>
        <v>1.062117535560512E-2</v>
      </c>
      <c r="S6" s="7">
        <f t="shared" si="0"/>
        <v>0</v>
      </c>
      <c r="T6" s="7">
        <f t="shared" si="0"/>
        <v>0.11111383448940743</v>
      </c>
      <c r="U6" s="7">
        <f t="shared" si="0"/>
        <v>8.1701348889270172E-4</v>
      </c>
      <c r="V6" s="7">
        <f t="shared" si="0"/>
        <v>1.6340269777854034E-3</v>
      </c>
      <c r="W6" s="7">
        <f t="shared" si="0"/>
        <v>0.1037607130893731</v>
      </c>
      <c r="X6" s="7">
        <f t="shared" si="0"/>
        <v>0</v>
      </c>
      <c r="Y6" s="7">
        <f t="shared" si="0"/>
        <v>0</v>
      </c>
      <c r="Z6" s="7">
        <f t="shared" si="0"/>
        <v>6.5361079111416137E-3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2:29" x14ac:dyDescent="0.25">
      <c r="B7" s="7">
        <v>506</v>
      </c>
      <c r="C7" s="7">
        <v>118</v>
      </c>
      <c r="D7" s="7">
        <v>819</v>
      </c>
      <c r="E7" s="7">
        <v>752</v>
      </c>
      <c r="F7" s="7">
        <v>2</v>
      </c>
      <c r="G7" s="7">
        <v>5872</v>
      </c>
      <c r="H7" s="7">
        <v>273</v>
      </c>
      <c r="I7" s="7">
        <v>0</v>
      </c>
      <c r="J7" s="7">
        <v>0</v>
      </c>
      <c r="K7" s="7">
        <v>32</v>
      </c>
      <c r="L7" s="7">
        <v>0</v>
      </c>
      <c r="M7" s="7">
        <v>0</v>
      </c>
      <c r="R7" s="7">
        <f t="shared" si="1"/>
        <v>0.41340882537970702</v>
      </c>
      <c r="S7" s="7">
        <f t="shared" si="0"/>
        <v>9.6407591689338795E-2</v>
      </c>
      <c r="T7" s="7">
        <f t="shared" si="0"/>
        <v>0.66913404740312266</v>
      </c>
      <c r="U7" s="7">
        <f t="shared" si="0"/>
        <v>0.6143941436473116</v>
      </c>
      <c r="V7" s="7">
        <f t="shared" si="0"/>
        <v>1.6340269777854034E-3</v>
      </c>
      <c r="W7" s="7">
        <f t="shared" si="0"/>
        <v>4.797503206777944</v>
      </c>
      <c r="X7" s="7">
        <f t="shared" si="0"/>
        <v>0.22304468246770753</v>
      </c>
      <c r="Y7" s="7">
        <f t="shared" si="0"/>
        <v>0</v>
      </c>
      <c r="Z7" s="7">
        <f t="shared" si="0"/>
        <v>0</v>
      </c>
      <c r="AA7" s="7">
        <f t="shared" si="0"/>
        <v>2.6144431644566455E-2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133</v>
      </c>
      <c r="C8" s="7">
        <v>0</v>
      </c>
      <c r="D8" s="7">
        <v>1</v>
      </c>
      <c r="E8" s="7">
        <v>5</v>
      </c>
      <c r="F8" s="7">
        <v>0</v>
      </c>
      <c r="G8" s="7">
        <v>1548</v>
      </c>
      <c r="H8" s="7">
        <v>1218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0.10866279402272931</v>
      </c>
      <c r="S8" s="7">
        <f t="shared" si="0"/>
        <v>0</v>
      </c>
      <c r="T8" s="7">
        <f t="shared" si="0"/>
        <v>8.1701348889270172E-4</v>
      </c>
      <c r="U8" s="7">
        <f t="shared" si="0"/>
        <v>4.0850674444635081E-3</v>
      </c>
      <c r="V8" s="7">
        <f t="shared" si="0"/>
        <v>0</v>
      </c>
      <c r="W8" s="7">
        <f t="shared" si="0"/>
        <v>1.2647368808059021</v>
      </c>
      <c r="X8" s="7">
        <f t="shared" si="0"/>
        <v>0.99512242947131058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6</v>
      </c>
      <c r="C9" s="7">
        <v>0</v>
      </c>
      <c r="D9" s="7">
        <v>44</v>
      </c>
      <c r="E9" s="7">
        <v>0</v>
      </c>
      <c r="F9" s="7">
        <v>0</v>
      </c>
      <c r="G9" s="7">
        <v>8</v>
      </c>
      <c r="H9" s="7">
        <v>0</v>
      </c>
      <c r="I9" s="7">
        <v>6418</v>
      </c>
      <c r="J9" s="7">
        <v>22</v>
      </c>
      <c r="K9" s="7">
        <v>0</v>
      </c>
      <c r="L9" s="7">
        <v>0</v>
      </c>
      <c r="M9" s="7">
        <v>0</v>
      </c>
      <c r="R9" s="7">
        <f t="shared" si="1"/>
        <v>4.9020809333562097E-3</v>
      </c>
      <c r="S9" s="7">
        <f t="shared" si="0"/>
        <v>0</v>
      </c>
      <c r="T9" s="7">
        <f t="shared" si="0"/>
        <v>3.5948593511278874E-2</v>
      </c>
      <c r="U9" s="7">
        <f t="shared" si="0"/>
        <v>0</v>
      </c>
      <c r="V9" s="7">
        <f t="shared" si="0"/>
        <v>0</v>
      </c>
      <c r="W9" s="7">
        <f t="shared" si="0"/>
        <v>6.5361079111416137E-3</v>
      </c>
      <c r="X9" s="7">
        <f t="shared" si="0"/>
        <v>0</v>
      </c>
      <c r="Y9" s="7">
        <f t="shared" si="0"/>
        <v>5.2435925717133589</v>
      </c>
      <c r="Z9" s="7">
        <f t="shared" si="0"/>
        <v>1.7974296755639437E-2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19</v>
      </c>
      <c r="C10" s="7">
        <v>0</v>
      </c>
      <c r="D10" s="7">
        <v>20</v>
      </c>
      <c r="E10" s="7">
        <v>2</v>
      </c>
      <c r="F10" s="7">
        <v>1</v>
      </c>
      <c r="G10" s="7">
        <v>274</v>
      </c>
      <c r="H10" s="7">
        <v>0</v>
      </c>
      <c r="I10" s="7">
        <v>47</v>
      </c>
      <c r="J10" s="7">
        <v>234</v>
      </c>
      <c r="K10" s="7">
        <v>0</v>
      </c>
      <c r="L10" s="7">
        <v>0</v>
      </c>
      <c r="M10" s="7">
        <v>0</v>
      </c>
      <c r="R10" s="7">
        <f t="shared" si="1"/>
        <v>1.552325628896133E-2</v>
      </c>
      <c r="S10" s="7">
        <f t="shared" si="0"/>
        <v>0</v>
      </c>
      <c r="T10" s="7">
        <f t="shared" si="0"/>
        <v>1.6340269777854032E-2</v>
      </c>
      <c r="U10" s="7">
        <f t="shared" si="0"/>
        <v>1.6340269777854034E-3</v>
      </c>
      <c r="V10" s="7">
        <f t="shared" si="0"/>
        <v>8.1701348889270172E-4</v>
      </c>
      <c r="W10" s="7">
        <f t="shared" si="0"/>
        <v>0.22386169595660024</v>
      </c>
      <c r="X10" s="7">
        <f t="shared" si="0"/>
        <v>0</v>
      </c>
      <c r="Y10" s="7">
        <f t="shared" si="0"/>
        <v>3.8399633977956975E-2</v>
      </c>
      <c r="Z10" s="7">
        <f t="shared" si="0"/>
        <v>0.19118115640089217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0</v>
      </c>
      <c r="C11" s="7">
        <v>8</v>
      </c>
      <c r="D11" s="7">
        <v>242</v>
      </c>
      <c r="E11" s="7">
        <v>0</v>
      </c>
      <c r="F11" s="7">
        <v>0</v>
      </c>
      <c r="G11" s="7">
        <v>27</v>
      </c>
      <c r="H11" s="7">
        <v>0</v>
      </c>
      <c r="I11" s="7">
        <v>0</v>
      </c>
      <c r="J11" s="7">
        <v>0</v>
      </c>
      <c r="K11" s="7">
        <v>664</v>
      </c>
      <c r="L11" s="7">
        <v>0</v>
      </c>
      <c r="M11" s="7">
        <v>0</v>
      </c>
      <c r="R11" s="7">
        <f t="shared" si="1"/>
        <v>0</v>
      </c>
      <c r="S11" s="7">
        <f t="shared" si="0"/>
        <v>6.5361079111416137E-3</v>
      </c>
      <c r="T11" s="7">
        <f t="shared" si="0"/>
        <v>0.19771726431203379</v>
      </c>
      <c r="U11" s="7">
        <f t="shared" si="0"/>
        <v>0</v>
      </c>
      <c r="V11" s="7">
        <f t="shared" si="0"/>
        <v>0</v>
      </c>
      <c r="W11" s="7">
        <f t="shared" si="0"/>
        <v>2.2059364200102943E-2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0.54249695662475383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42</v>
      </c>
      <c r="C12" s="7">
        <v>1</v>
      </c>
      <c r="D12" s="7">
        <v>50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151</v>
      </c>
      <c r="M12" s="7">
        <v>0</v>
      </c>
      <c r="R12" s="7">
        <f t="shared" si="1"/>
        <v>3.4314566533493462E-2</v>
      </c>
      <c r="S12" s="7">
        <f t="shared" si="0"/>
        <v>8.1701348889270172E-4</v>
      </c>
      <c r="T12" s="7">
        <f t="shared" si="0"/>
        <v>4.0850674444635082E-2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0.12336903682279796</v>
      </c>
      <c r="AC12" s="7">
        <f t="shared" si="0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6" spans="2:29" x14ac:dyDescent="0.25">
      <c r="B16" t="s">
        <v>26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79.455286296375732</v>
      </c>
      <c r="C19" s="7">
        <f t="shared" ref="C19:M19" si="2">IFERROR(C2/SUM(C$2:C$13)*100,0)</f>
        <v>14.393679148059086</v>
      </c>
      <c r="D19" s="7">
        <f t="shared" si="2"/>
        <v>2.3411699711497147</v>
      </c>
      <c r="E19" s="7">
        <f t="shared" si="2"/>
        <v>1.9991401547721408</v>
      </c>
      <c r="F19" s="7">
        <f t="shared" si="2"/>
        <v>0</v>
      </c>
      <c r="G19" s="7">
        <f t="shared" si="2"/>
        <v>5.1216520139030868</v>
      </c>
      <c r="H19" s="7">
        <f t="shared" si="2"/>
        <v>0</v>
      </c>
      <c r="I19" s="7">
        <f t="shared" si="2"/>
        <v>0</v>
      </c>
      <c r="J19" s="7">
        <f t="shared" si="2"/>
        <v>0.36231884057971014</v>
      </c>
      <c r="K19" s="7">
        <f t="shared" si="2"/>
        <v>0.88062622309197647</v>
      </c>
      <c r="L19" s="7">
        <f t="shared" si="2"/>
        <v>0</v>
      </c>
      <c r="M19" s="7">
        <f t="shared" si="2"/>
        <v>0</v>
      </c>
      <c r="R19">
        <f>B2*'scoring matrix'!C4</f>
        <v>0</v>
      </c>
      <c r="S19">
        <f>C2*'scoring matrix'!D4</f>
        <v>838</v>
      </c>
      <c r="T19">
        <f>D2*'scoring matrix'!E4</f>
        <v>6674.5</v>
      </c>
      <c r="U19">
        <f>E2*'scoring matrix'!F4</f>
        <v>279</v>
      </c>
      <c r="V19">
        <f>F2*'scoring matrix'!G4</f>
        <v>0</v>
      </c>
      <c r="W19">
        <f>G2*'scoring matrix'!H4</f>
        <v>1753.5</v>
      </c>
      <c r="X19">
        <f>H2*'scoring matrix'!I4</f>
        <v>0</v>
      </c>
      <c r="Y19">
        <f>I2*'scoring matrix'!J4</f>
        <v>0</v>
      </c>
      <c r="Z19">
        <f>J2*'scoring matrix'!K4</f>
        <v>4</v>
      </c>
      <c r="AA19">
        <f>K2*'scoring matrix'!L4</f>
        <v>22.5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11.723497033383373</v>
      </c>
      <c r="C20" s="7">
        <f t="shared" si="3"/>
        <v>64.41085537615939</v>
      </c>
      <c r="D20" s="7">
        <f t="shared" si="3"/>
        <v>10.109876618992082</v>
      </c>
      <c r="E20" s="7">
        <f t="shared" si="3"/>
        <v>6.2983662940670673</v>
      </c>
      <c r="F20" s="7">
        <f t="shared" si="3"/>
        <v>0</v>
      </c>
      <c r="G20" s="7">
        <f t="shared" si="3"/>
        <v>0.82805152320588826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14.187866927592955</v>
      </c>
      <c r="L20" s="7">
        <f t="shared" si="3"/>
        <v>7.2538860103626934</v>
      </c>
      <c r="M20" s="7">
        <f t="shared" si="3"/>
        <v>0</v>
      </c>
      <c r="R20">
        <f>B3*'scoring matrix'!C5</f>
        <v>3280</v>
      </c>
      <c r="S20">
        <f>C3*'scoring matrix'!D5</f>
        <v>0</v>
      </c>
      <c r="T20">
        <f>D3*'scoring matrix'!E5</f>
        <v>19558.125</v>
      </c>
      <c r="U20">
        <f>E3*'scoring matrix'!F5</f>
        <v>805.75</v>
      </c>
      <c r="V20">
        <f>F3*'scoring matrix'!G5</f>
        <v>0</v>
      </c>
      <c r="W20">
        <f>G3*'scoring matrix'!H5</f>
        <v>303.75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435</v>
      </c>
      <c r="AB20">
        <f>L3*'scoring matrix'!M5</f>
        <v>52.5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3.5742369004217602</v>
      </c>
      <c r="C21" s="7">
        <f t="shared" si="3"/>
        <v>10.340089316386122</v>
      </c>
      <c r="D21" s="7">
        <f t="shared" si="3"/>
        <v>83.999754465655883</v>
      </c>
      <c r="E21" s="7">
        <f t="shared" si="3"/>
        <v>43.637145313843504</v>
      </c>
      <c r="F21" s="7">
        <f t="shared" si="3"/>
        <v>0</v>
      </c>
      <c r="G21" s="7">
        <f t="shared" si="3"/>
        <v>3.1281946432222449</v>
      </c>
      <c r="H21" s="7">
        <f t="shared" si="3"/>
        <v>3.3434650455927049</v>
      </c>
      <c r="I21" s="7">
        <f t="shared" si="3"/>
        <v>3.0926240915416729E-2</v>
      </c>
      <c r="J21" s="7">
        <f t="shared" si="3"/>
        <v>3.9855072463768111</v>
      </c>
      <c r="K21" s="7">
        <f t="shared" si="3"/>
        <v>16.829745596868882</v>
      </c>
      <c r="L21" s="7">
        <f t="shared" si="3"/>
        <v>14.507772020725387</v>
      </c>
      <c r="M21" s="7">
        <f t="shared" si="3"/>
        <v>0</v>
      </c>
      <c r="R21">
        <f>B4*'scoring matrix'!C6</f>
        <v>1750</v>
      </c>
      <c r="S21">
        <f>C4*'scoring matrix'!D6</f>
        <v>714.875</v>
      </c>
      <c r="T21">
        <f>D4*'scoring matrix'!E6</f>
        <v>0</v>
      </c>
      <c r="U21">
        <f>E4*'scoring matrix'!F6</f>
        <v>4060</v>
      </c>
      <c r="V21">
        <f>F4*'scoring matrix'!G6</f>
        <v>0</v>
      </c>
      <c r="W21">
        <f>G4*'scoring matrix'!H6</f>
        <v>1071</v>
      </c>
      <c r="X21">
        <f>H4*'scoring matrix'!I6</f>
        <v>206.25</v>
      </c>
      <c r="Y21">
        <f>I4*'scoring matrix'!J6</f>
        <v>8</v>
      </c>
      <c r="Z21">
        <f>J4*'scoring matrix'!K6</f>
        <v>44</v>
      </c>
      <c r="AA21">
        <f>K4*'scoring matrix'!L6</f>
        <v>473</v>
      </c>
      <c r="AB21">
        <f>L4*'scoring matrix'!M6</f>
        <v>91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0.1072271070126528</v>
      </c>
      <c r="C22" s="7">
        <f t="shared" si="3"/>
        <v>6.4926142219168677</v>
      </c>
      <c r="D22" s="7">
        <f t="shared" si="3"/>
        <v>1.9384936467988458</v>
      </c>
      <c r="E22" s="7">
        <f t="shared" si="3"/>
        <v>31.728288907996561</v>
      </c>
      <c r="F22" s="7">
        <f t="shared" si="3"/>
        <v>0</v>
      </c>
      <c r="G22" s="7">
        <f t="shared" si="3"/>
        <v>10.611326927008792</v>
      </c>
      <c r="H22" s="7">
        <f t="shared" si="3"/>
        <v>6.0182370820668689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0</v>
      </c>
      <c r="R22">
        <f>B5*'scoring matrix'!C7</f>
        <v>45</v>
      </c>
      <c r="S22">
        <f>C5*'scoring matrix'!D7</f>
        <v>519.75</v>
      </c>
      <c r="T22">
        <f>D5*'scoring matrix'!E7</f>
        <v>3158</v>
      </c>
      <c r="U22">
        <f>E5*'scoring matrix'!F7</f>
        <v>0</v>
      </c>
      <c r="V22">
        <f>F5*'scoring matrix'!G7</f>
        <v>0</v>
      </c>
      <c r="W22">
        <f>G5*'scoring matrix'!H7</f>
        <v>2076</v>
      </c>
      <c r="X22">
        <f>H5*'scoring matrix'!I7</f>
        <v>222.75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9.293015941096576E-2</v>
      </c>
      <c r="C23" s="7">
        <f t="shared" si="3"/>
        <v>0</v>
      </c>
      <c r="D23" s="7">
        <f t="shared" si="3"/>
        <v>0.16696335399914061</v>
      </c>
      <c r="E23" s="7">
        <f t="shared" si="3"/>
        <v>2.1496130696474634E-2</v>
      </c>
      <c r="F23" s="7">
        <f t="shared" si="3"/>
        <v>40</v>
      </c>
      <c r="G23" s="7">
        <f t="shared" si="3"/>
        <v>1.2983030055203435</v>
      </c>
      <c r="H23" s="7">
        <f t="shared" si="3"/>
        <v>0</v>
      </c>
      <c r="I23" s="7">
        <f t="shared" si="3"/>
        <v>0</v>
      </c>
      <c r="J23" s="7">
        <f t="shared" si="3"/>
        <v>2.8985507246376812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48.75</v>
      </c>
      <c r="S23">
        <f>C6*'scoring matrix'!D8</f>
        <v>0</v>
      </c>
      <c r="T23">
        <f>D6*'scoring matrix'!E8</f>
        <v>476</v>
      </c>
      <c r="U23">
        <f>E6*'scoring matrix'!F8</f>
        <v>2.5</v>
      </c>
      <c r="V23">
        <f>F6*'scoring matrix'!G8</f>
        <v>0</v>
      </c>
      <c r="W23">
        <f>G6*'scoring matrix'!H8</f>
        <v>333.375</v>
      </c>
      <c r="X23">
        <f>H6*'scoring matrix'!I8</f>
        <v>0</v>
      </c>
      <c r="Y23">
        <f>I6*'scoring matrix'!J8</f>
        <v>0</v>
      </c>
      <c r="Z23">
        <f>J6*'scoring matrix'!K8</f>
        <v>26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3.617127743226821</v>
      </c>
      <c r="C24" s="7">
        <f t="shared" si="3"/>
        <v>4.0535898316729639</v>
      </c>
      <c r="D24" s="7">
        <f t="shared" si="3"/>
        <v>1.0054631391565896</v>
      </c>
      <c r="E24" s="7">
        <f t="shared" si="3"/>
        <v>16.165090283748924</v>
      </c>
      <c r="F24" s="7">
        <f t="shared" si="3"/>
        <v>40</v>
      </c>
      <c r="G24" s="7">
        <f t="shared" si="3"/>
        <v>60.028624003271311</v>
      </c>
      <c r="H24" s="7">
        <f t="shared" si="3"/>
        <v>16.595744680851062</v>
      </c>
      <c r="I24" s="7">
        <f t="shared" si="3"/>
        <v>0</v>
      </c>
      <c r="J24" s="7">
        <f t="shared" si="3"/>
        <v>0</v>
      </c>
      <c r="K24" s="7">
        <f t="shared" si="3"/>
        <v>3.131115459882583</v>
      </c>
      <c r="L24" s="7">
        <f t="shared" si="3"/>
        <v>0</v>
      </c>
      <c r="M24" s="7">
        <f t="shared" si="3"/>
        <v>0</v>
      </c>
      <c r="P24" s="2"/>
      <c r="R24">
        <f>B7*'scoring matrix'!C9</f>
        <v>1771</v>
      </c>
      <c r="S24">
        <f>C7*'scoring matrix'!D9</f>
        <v>442.5</v>
      </c>
      <c r="T24">
        <f>D7*'scoring matrix'!E9</f>
        <v>2866.5</v>
      </c>
      <c r="U24">
        <f>E7*'scoring matrix'!F9</f>
        <v>1504</v>
      </c>
      <c r="V24">
        <f>F7*'scoring matrix'!G9</f>
        <v>5.25</v>
      </c>
      <c r="W24">
        <f>G7*'scoring matrix'!H9</f>
        <v>0</v>
      </c>
      <c r="X24">
        <f>H7*'scoring matrix'!I9</f>
        <v>375.375</v>
      </c>
      <c r="Y24">
        <f>I7*'scoring matrix'!J9</f>
        <v>0</v>
      </c>
      <c r="Z24">
        <f>J7*'scoring matrix'!K9</f>
        <v>0</v>
      </c>
      <c r="AA24">
        <f>K7*'scoring matrix'!L9</f>
        <v>112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0.9507470155121881</v>
      </c>
      <c r="C25" s="7">
        <f t="shared" si="3"/>
        <v>0</v>
      </c>
      <c r="D25" s="7">
        <f t="shared" si="3"/>
        <v>1.2276717205819165E-3</v>
      </c>
      <c r="E25" s="7">
        <f t="shared" si="3"/>
        <v>0.10748065348237318</v>
      </c>
      <c r="F25" s="7">
        <f t="shared" si="3"/>
        <v>0</v>
      </c>
      <c r="G25" s="7">
        <f t="shared" si="3"/>
        <v>15.824984665712533</v>
      </c>
      <c r="H25" s="7">
        <f t="shared" si="3"/>
        <v>74.042553191489361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465.5</v>
      </c>
      <c r="S25">
        <f>C8*'scoring matrix'!D10</f>
        <v>0</v>
      </c>
      <c r="T25">
        <f>D8*'scoring matrix'!E10</f>
        <v>3.75</v>
      </c>
      <c r="U25">
        <f>E8*'scoring matrix'!F10</f>
        <v>11.25</v>
      </c>
      <c r="V25">
        <f>F8*'scoring matrix'!G10</f>
        <v>0</v>
      </c>
      <c r="W25">
        <f>G8*'scoring matrix'!H10</f>
        <v>2128.5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61748</v>
      </c>
    </row>
    <row r="26" spans="1:31" ht="23.25" customHeight="1" x14ac:dyDescent="0.25">
      <c r="A26" s="3" t="s">
        <v>7</v>
      </c>
      <c r="B26" s="7">
        <f t="shared" si="3"/>
        <v>4.289084280506112E-2</v>
      </c>
      <c r="C26" s="7">
        <f t="shared" si="3"/>
        <v>0</v>
      </c>
      <c r="D26" s="7">
        <f t="shared" si="3"/>
        <v>5.401755570560432E-2</v>
      </c>
      <c r="E26" s="7">
        <f t="shared" si="3"/>
        <v>0</v>
      </c>
      <c r="F26" s="7">
        <f t="shared" si="3"/>
        <v>0</v>
      </c>
      <c r="G26" s="7">
        <f t="shared" si="3"/>
        <v>8.178286648947046E-2</v>
      </c>
      <c r="H26" s="7">
        <f t="shared" si="3"/>
        <v>0</v>
      </c>
      <c r="I26" s="7">
        <f t="shared" si="3"/>
        <v>99.242307097572294</v>
      </c>
      <c r="J26" s="7">
        <f t="shared" si="3"/>
        <v>7.9710144927536222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24</v>
      </c>
      <c r="S26">
        <f>C9*'scoring matrix'!D11</f>
        <v>0</v>
      </c>
      <c r="T26">
        <f>D9*'scoring matrix'!E11</f>
        <v>176</v>
      </c>
      <c r="U26">
        <f>E9*'scoring matrix'!F11</f>
        <v>0</v>
      </c>
      <c r="V26">
        <f>F9*'scoring matrix'!G11</f>
        <v>0</v>
      </c>
      <c r="W26">
        <f>G9*'scoring matrix'!H11</f>
        <v>32</v>
      </c>
      <c r="X26">
        <f>H9*'scoring matrix'!I11</f>
        <v>0</v>
      </c>
      <c r="Y26">
        <f>I9*'scoring matrix'!J11</f>
        <v>0</v>
      </c>
      <c r="Z26">
        <f>J9*'scoring matrix'!K11</f>
        <v>60.5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0.13582100221602689</v>
      </c>
      <c r="C27" s="7">
        <f t="shared" si="3"/>
        <v>0</v>
      </c>
      <c r="D27" s="7">
        <f t="shared" si="3"/>
        <v>2.4553434411638327E-2</v>
      </c>
      <c r="E27" s="7">
        <f t="shared" si="3"/>
        <v>4.2992261392949267E-2</v>
      </c>
      <c r="F27" s="7">
        <f t="shared" si="3"/>
        <v>20</v>
      </c>
      <c r="G27" s="7">
        <f t="shared" si="3"/>
        <v>2.8010631772643633</v>
      </c>
      <c r="H27" s="7">
        <f t="shared" si="3"/>
        <v>0</v>
      </c>
      <c r="I27" s="7">
        <f t="shared" si="3"/>
        <v>0.72676666151229319</v>
      </c>
      <c r="J27" s="7">
        <f t="shared" si="3"/>
        <v>84.782608695652172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76</v>
      </c>
      <c r="S27">
        <f>C10*'scoring matrix'!D12</f>
        <v>0</v>
      </c>
      <c r="T27">
        <f>D10*'scoring matrix'!E12</f>
        <v>80</v>
      </c>
      <c r="U27">
        <f>E10*'scoring matrix'!F12</f>
        <v>8</v>
      </c>
      <c r="V27">
        <f>F10*'scoring matrix'!G12</f>
        <v>3.25</v>
      </c>
      <c r="W27">
        <f>G10*'scoring matrix'!H12</f>
        <v>1027.5</v>
      </c>
      <c r="X27">
        <f>H10*'scoring matrix'!I12</f>
        <v>0</v>
      </c>
      <c r="Y27">
        <f>I10*'scoring matrix'!J12</f>
        <v>129.25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0</v>
      </c>
      <c r="C28" s="7">
        <f t="shared" si="3"/>
        <v>0.27481964960494676</v>
      </c>
      <c r="D28" s="7">
        <f t="shared" si="3"/>
        <v>0.29709655638082377</v>
      </c>
      <c r="E28" s="7">
        <f t="shared" si="3"/>
        <v>0</v>
      </c>
      <c r="F28" s="7">
        <f t="shared" si="3"/>
        <v>0</v>
      </c>
      <c r="G28" s="7">
        <f t="shared" si="3"/>
        <v>0.27601717440196283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64.970645792563602</v>
      </c>
      <c r="L28" s="7">
        <f t="shared" si="3"/>
        <v>0</v>
      </c>
      <c r="M28" s="7">
        <f t="shared" si="3"/>
        <v>0</v>
      </c>
      <c r="R28">
        <f>B11*'scoring matrix'!C13</f>
        <v>0</v>
      </c>
      <c r="S28">
        <f>C11*'scoring matrix'!D13</f>
        <v>24</v>
      </c>
      <c r="T28">
        <f>D11*'scoring matrix'!E13</f>
        <v>665.5</v>
      </c>
      <c r="U28">
        <f>E11*'scoring matrix'!F13</f>
        <v>0</v>
      </c>
      <c r="V28">
        <f>F11*'scoring matrix'!G13</f>
        <v>0</v>
      </c>
      <c r="W28">
        <f>G11*'scoring matrix'!H13</f>
        <v>94.5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0.30023589963542785</v>
      </c>
      <c r="C29" s="7">
        <f t="shared" si="3"/>
        <v>3.4352456200618345E-2</v>
      </c>
      <c r="D29" s="7">
        <f t="shared" si="3"/>
        <v>6.138358602909582E-2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78.238341968911911</v>
      </c>
      <c r="M29" s="7">
        <f t="shared" si="3"/>
        <v>0</v>
      </c>
      <c r="R29">
        <f>B12*'scoring matrix'!C14</f>
        <v>162.75</v>
      </c>
      <c r="S29">
        <f>C12*'scoring matrix'!D14</f>
        <v>3.75</v>
      </c>
      <c r="T29">
        <f>D12*'scoring matrix'!E14</f>
        <v>162.5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F0A4-CD97-48FA-9D68-035F4A22BF6A}">
  <dimension ref="A2:AE31"/>
  <sheetViews>
    <sheetView workbookViewId="0">
      <selection activeCell="AE25" sqref="AE25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10096</v>
      </c>
      <c r="C2" s="7">
        <v>1049</v>
      </c>
      <c r="D2" s="7">
        <v>1926</v>
      </c>
      <c r="E2" s="7">
        <v>221</v>
      </c>
      <c r="F2" s="7">
        <v>0</v>
      </c>
      <c r="G2" s="7">
        <v>746</v>
      </c>
      <c r="H2" s="7">
        <v>0</v>
      </c>
      <c r="I2" s="7">
        <v>0</v>
      </c>
      <c r="J2" s="7">
        <v>0</v>
      </c>
      <c r="K2" s="7">
        <v>7</v>
      </c>
      <c r="L2" s="7">
        <v>0</v>
      </c>
      <c r="M2" s="7">
        <v>0</v>
      </c>
      <c r="O2" s="8">
        <f>SUM(B2:M13)</f>
        <v>122397</v>
      </c>
      <c r="R2" s="7">
        <f>B2/$O$2*100</f>
        <v>8.2485681838607157</v>
      </c>
      <c r="S2" s="7">
        <f t="shared" ref="S2:AC13" si="0">C2/$O$2*100</f>
        <v>0.85704714984844388</v>
      </c>
      <c r="T2" s="7">
        <f t="shared" si="0"/>
        <v>1.5735679796073432</v>
      </c>
      <c r="U2" s="7">
        <f t="shared" si="0"/>
        <v>0.18055998104528706</v>
      </c>
      <c r="V2" s="7">
        <f t="shared" si="0"/>
        <v>0</v>
      </c>
      <c r="W2" s="7">
        <f t="shared" si="0"/>
        <v>0.6094920627139554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5.7190944222489113E-3</v>
      </c>
      <c r="AB2" s="7">
        <f t="shared" si="0"/>
        <v>0</v>
      </c>
      <c r="AC2" s="7">
        <f t="shared" si="0"/>
        <v>0</v>
      </c>
    </row>
    <row r="3" spans="2:29" x14ac:dyDescent="0.25">
      <c r="B3" s="7">
        <v>2142</v>
      </c>
      <c r="C3" s="7">
        <v>3208</v>
      </c>
      <c r="D3" s="7">
        <v>6619</v>
      </c>
      <c r="E3" s="7">
        <v>75</v>
      </c>
      <c r="F3" s="7">
        <v>0</v>
      </c>
      <c r="G3" s="7">
        <v>73</v>
      </c>
      <c r="H3" s="7">
        <v>0</v>
      </c>
      <c r="I3" s="7">
        <v>0</v>
      </c>
      <c r="J3" s="7">
        <v>0</v>
      </c>
      <c r="K3" s="7">
        <v>138</v>
      </c>
      <c r="L3" s="7">
        <v>28</v>
      </c>
      <c r="M3" s="7">
        <v>0</v>
      </c>
      <c r="R3" s="7">
        <f t="shared" ref="R3:R13" si="1">B3/$O$2*100</f>
        <v>1.7500428932081666</v>
      </c>
      <c r="S3" s="7">
        <f t="shared" si="0"/>
        <v>2.6209792723677867</v>
      </c>
      <c r="T3" s="7">
        <f t="shared" si="0"/>
        <v>5.4078122829807924</v>
      </c>
      <c r="U3" s="7">
        <f t="shared" si="0"/>
        <v>6.1276011666952623E-2</v>
      </c>
      <c r="V3" s="7">
        <f t="shared" si="0"/>
        <v>0</v>
      </c>
      <c r="W3" s="7">
        <f t="shared" si="0"/>
        <v>5.9641984689167218E-2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0.11274786146719283</v>
      </c>
      <c r="AB3" s="7">
        <f t="shared" si="0"/>
        <v>2.2876377688995645E-2</v>
      </c>
      <c r="AC3" s="7">
        <f t="shared" si="0"/>
        <v>0</v>
      </c>
    </row>
    <row r="4" spans="2:29" x14ac:dyDescent="0.25">
      <c r="B4" s="7">
        <v>670</v>
      </c>
      <c r="C4" s="7">
        <v>707</v>
      </c>
      <c r="D4" s="7">
        <v>69207</v>
      </c>
      <c r="E4" s="7">
        <v>569</v>
      </c>
      <c r="F4" s="7">
        <v>0</v>
      </c>
      <c r="G4" s="7">
        <v>298</v>
      </c>
      <c r="H4" s="7">
        <v>6</v>
      </c>
      <c r="I4" s="7">
        <v>10</v>
      </c>
      <c r="J4" s="7">
        <v>10</v>
      </c>
      <c r="K4" s="7">
        <v>299</v>
      </c>
      <c r="L4" s="7">
        <v>51</v>
      </c>
      <c r="M4" s="7">
        <v>0</v>
      </c>
      <c r="R4" s="7">
        <f t="shared" si="1"/>
        <v>0.54739903755811004</v>
      </c>
      <c r="S4" s="7">
        <f t="shared" si="0"/>
        <v>0.57762853664713998</v>
      </c>
      <c r="T4" s="7">
        <f>D4/$O$2*100</f>
        <v>56.543052525797201</v>
      </c>
      <c r="U4" s="7">
        <f t="shared" si="0"/>
        <v>0.46488067517994724</v>
      </c>
      <c r="V4" s="7">
        <f t="shared" si="0"/>
        <v>0</v>
      </c>
      <c r="W4" s="7">
        <f t="shared" si="0"/>
        <v>0.2434700196900251</v>
      </c>
      <c r="X4" s="7">
        <f t="shared" si="0"/>
        <v>4.9020809333562097E-3</v>
      </c>
      <c r="Y4" s="7">
        <f t="shared" si="0"/>
        <v>8.1701348889270161E-3</v>
      </c>
      <c r="Z4" s="7">
        <f t="shared" si="0"/>
        <v>8.1701348889270161E-3</v>
      </c>
      <c r="AA4" s="7">
        <f t="shared" si="0"/>
        <v>0.24428703317891778</v>
      </c>
      <c r="AB4" s="7">
        <f t="shared" si="0"/>
        <v>4.1667687933527785E-2</v>
      </c>
      <c r="AC4" s="7">
        <f t="shared" si="0"/>
        <v>0</v>
      </c>
    </row>
    <row r="5" spans="2:29" x14ac:dyDescent="0.25">
      <c r="B5" s="7">
        <v>136</v>
      </c>
      <c r="C5" s="7">
        <v>482</v>
      </c>
      <c r="D5" s="7">
        <v>1251</v>
      </c>
      <c r="E5" s="7">
        <v>1234</v>
      </c>
      <c r="F5" s="7">
        <v>0</v>
      </c>
      <c r="G5" s="7">
        <v>1263</v>
      </c>
      <c r="H5" s="7">
        <v>30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si="1"/>
        <v>0.11111383448940743</v>
      </c>
      <c r="S5" s="7">
        <f t="shared" si="0"/>
        <v>0.39380050164628222</v>
      </c>
      <c r="T5" s="7">
        <f t="shared" si="0"/>
        <v>1.0220838746047698</v>
      </c>
      <c r="U5" s="7">
        <f t="shared" si="0"/>
        <v>1.0081946452935939</v>
      </c>
      <c r="V5" s="7">
        <f t="shared" si="0"/>
        <v>0</v>
      </c>
      <c r="W5" s="7">
        <f t="shared" si="0"/>
        <v>1.0318880364714822</v>
      </c>
      <c r="X5" s="7">
        <f t="shared" si="0"/>
        <v>2.4510404666781047E-2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2:29" x14ac:dyDescent="0.25">
      <c r="B6" s="7">
        <v>1</v>
      </c>
      <c r="C6" s="7">
        <v>0</v>
      </c>
      <c r="D6" s="7">
        <v>144</v>
      </c>
      <c r="E6" s="7">
        <v>4</v>
      </c>
      <c r="F6" s="7">
        <v>0</v>
      </c>
      <c r="G6" s="7">
        <v>30</v>
      </c>
      <c r="H6" s="7">
        <v>0</v>
      </c>
      <c r="I6" s="7">
        <v>8</v>
      </c>
      <c r="J6" s="7">
        <v>100</v>
      </c>
      <c r="K6" s="7">
        <v>0</v>
      </c>
      <c r="L6" s="7">
        <v>0</v>
      </c>
      <c r="M6" s="7">
        <v>0</v>
      </c>
      <c r="R6" s="7">
        <f t="shared" si="1"/>
        <v>8.1701348889270172E-4</v>
      </c>
      <c r="S6" s="7">
        <f t="shared" si="0"/>
        <v>0</v>
      </c>
      <c r="T6" s="7">
        <f t="shared" si="0"/>
        <v>0.11764994240054903</v>
      </c>
      <c r="U6" s="7">
        <f t="shared" si="0"/>
        <v>3.2680539555708069E-3</v>
      </c>
      <c r="V6" s="7">
        <f t="shared" si="0"/>
        <v>0</v>
      </c>
      <c r="W6" s="7">
        <f t="shared" si="0"/>
        <v>2.4510404666781047E-2</v>
      </c>
      <c r="X6" s="7">
        <f t="shared" si="0"/>
        <v>0</v>
      </c>
      <c r="Y6" s="7">
        <f t="shared" si="0"/>
        <v>6.5361079111416137E-3</v>
      </c>
      <c r="Z6" s="7">
        <f t="shared" si="0"/>
        <v>8.1701348889270164E-2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2:29" x14ac:dyDescent="0.25">
      <c r="B7" s="7">
        <v>875</v>
      </c>
      <c r="C7" s="7">
        <v>27</v>
      </c>
      <c r="D7" s="7">
        <v>1006</v>
      </c>
      <c r="E7" s="7">
        <v>465</v>
      </c>
      <c r="F7" s="7">
        <v>0</v>
      </c>
      <c r="G7" s="7">
        <v>5717</v>
      </c>
      <c r="H7" s="7">
        <v>242</v>
      </c>
      <c r="I7" s="7">
        <v>0</v>
      </c>
      <c r="J7" s="7">
        <v>0</v>
      </c>
      <c r="K7" s="7">
        <v>42</v>
      </c>
      <c r="L7" s="7">
        <v>0</v>
      </c>
      <c r="M7" s="7">
        <v>0</v>
      </c>
      <c r="R7" s="7">
        <f t="shared" si="1"/>
        <v>0.71488680278111394</v>
      </c>
      <c r="S7" s="7">
        <f t="shared" si="0"/>
        <v>2.2059364200102943E-2</v>
      </c>
      <c r="T7" s="7">
        <f t="shared" si="0"/>
        <v>0.82191556982605785</v>
      </c>
      <c r="U7" s="7">
        <f t="shared" si="0"/>
        <v>0.37991127233510624</v>
      </c>
      <c r="V7" s="7">
        <f t="shared" si="0"/>
        <v>0</v>
      </c>
      <c r="W7" s="7">
        <f t="shared" si="0"/>
        <v>4.6708661159995755</v>
      </c>
      <c r="X7" s="7">
        <f t="shared" si="0"/>
        <v>0.19771726431203379</v>
      </c>
      <c r="Y7" s="7">
        <f t="shared" si="0"/>
        <v>0</v>
      </c>
      <c r="Z7" s="7">
        <f t="shared" si="0"/>
        <v>0</v>
      </c>
      <c r="AA7" s="7">
        <f t="shared" si="0"/>
        <v>3.4314566533493462E-2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216</v>
      </c>
      <c r="C8" s="7">
        <v>0</v>
      </c>
      <c r="D8" s="7">
        <v>1</v>
      </c>
      <c r="E8" s="7">
        <v>1</v>
      </c>
      <c r="F8" s="7">
        <v>0</v>
      </c>
      <c r="G8" s="7">
        <v>1553</v>
      </c>
      <c r="H8" s="7">
        <v>1134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0.17647491360082354</v>
      </c>
      <c r="S8" s="7">
        <f t="shared" si="0"/>
        <v>0</v>
      </c>
      <c r="T8" s="7">
        <f t="shared" si="0"/>
        <v>8.1701348889270172E-4</v>
      </c>
      <c r="U8" s="7">
        <f t="shared" si="0"/>
        <v>8.1701348889270172E-4</v>
      </c>
      <c r="V8" s="7">
        <f t="shared" si="0"/>
        <v>0</v>
      </c>
      <c r="W8" s="7">
        <f t="shared" si="0"/>
        <v>1.2688219482503655</v>
      </c>
      <c r="X8" s="7">
        <f t="shared" si="0"/>
        <v>0.92649329640432354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0</v>
      </c>
      <c r="C9" s="7">
        <v>0</v>
      </c>
      <c r="D9" s="7">
        <v>16</v>
      </c>
      <c r="E9" s="7">
        <v>0</v>
      </c>
      <c r="F9" s="7">
        <v>0</v>
      </c>
      <c r="G9" s="7">
        <v>2</v>
      </c>
      <c r="H9" s="7">
        <v>0</v>
      </c>
      <c r="I9" s="7">
        <v>6472</v>
      </c>
      <c r="J9" s="7">
        <v>8</v>
      </c>
      <c r="K9" s="7">
        <v>0</v>
      </c>
      <c r="L9" s="7">
        <v>0</v>
      </c>
      <c r="M9" s="7">
        <v>0</v>
      </c>
      <c r="R9" s="7">
        <f t="shared" si="1"/>
        <v>0</v>
      </c>
      <c r="S9" s="7">
        <f t="shared" si="0"/>
        <v>0</v>
      </c>
      <c r="T9" s="7">
        <f t="shared" si="0"/>
        <v>1.3072215822283227E-2</v>
      </c>
      <c r="U9" s="7">
        <f t="shared" si="0"/>
        <v>0</v>
      </c>
      <c r="V9" s="7">
        <f t="shared" si="0"/>
        <v>0</v>
      </c>
      <c r="W9" s="7">
        <f t="shared" si="0"/>
        <v>1.6340269777854034E-3</v>
      </c>
      <c r="X9" s="7">
        <f t="shared" si="0"/>
        <v>0</v>
      </c>
      <c r="Y9" s="7">
        <f t="shared" si="0"/>
        <v>5.2877113001135649</v>
      </c>
      <c r="Z9" s="7">
        <f t="shared" si="0"/>
        <v>6.5361079111416137E-3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13</v>
      </c>
      <c r="C10" s="7">
        <v>0</v>
      </c>
      <c r="D10" s="7">
        <v>24</v>
      </c>
      <c r="E10" s="7">
        <v>0</v>
      </c>
      <c r="F10" s="7">
        <v>0</v>
      </c>
      <c r="G10" s="7">
        <v>133</v>
      </c>
      <c r="H10" s="7">
        <v>0</v>
      </c>
      <c r="I10" s="7">
        <v>66</v>
      </c>
      <c r="J10" s="7">
        <v>361</v>
      </c>
      <c r="K10" s="7">
        <v>0</v>
      </c>
      <c r="L10" s="7">
        <v>0</v>
      </c>
      <c r="M10" s="7">
        <v>0</v>
      </c>
      <c r="R10" s="7">
        <f t="shared" si="1"/>
        <v>1.062117535560512E-2</v>
      </c>
      <c r="S10" s="7">
        <f t="shared" si="0"/>
        <v>0</v>
      </c>
      <c r="T10" s="7">
        <f t="shared" si="0"/>
        <v>1.9608323733424839E-2</v>
      </c>
      <c r="U10" s="7">
        <f t="shared" si="0"/>
        <v>0</v>
      </c>
      <c r="V10" s="7">
        <f t="shared" si="0"/>
        <v>0</v>
      </c>
      <c r="W10" s="7">
        <f t="shared" si="0"/>
        <v>0.10866279402272931</v>
      </c>
      <c r="X10" s="7">
        <f t="shared" si="0"/>
        <v>0</v>
      </c>
      <c r="Y10" s="7">
        <f t="shared" si="0"/>
        <v>5.3922890266918308E-2</v>
      </c>
      <c r="Z10" s="7">
        <f t="shared" si="0"/>
        <v>0.2949418694902653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0</v>
      </c>
      <c r="C11" s="7">
        <v>0</v>
      </c>
      <c r="D11" s="7">
        <v>153</v>
      </c>
      <c r="E11" s="7">
        <v>0</v>
      </c>
      <c r="F11" s="7">
        <v>0</v>
      </c>
      <c r="G11" s="7">
        <v>20</v>
      </c>
      <c r="H11" s="7">
        <v>0</v>
      </c>
      <c r="I11" s="7">
        <v>0</v>
      </c>
      <c r="J11" s="7">
        <v>0</v>
      </c>
      <c r="K11" s="7">
        <v>768</v>
      </c>
      <c r="L11" s="7">
        <v>0</v>
      </c>
      <c r="M11" s="7">
        <v>0</v>
      </c>
      <c r="R11" s="7">
        <f t="shared" si="1"/>
        <v>0</v>
      </c>
      <c r="S11" s="7">
        <f t="shared" si="0"/>
        <v>0</v>
      </c>
      <c r="T11" s="7">
        <f t="shared" si="0"/>
        <v>0.12500306380058335</v>
      </c>
      <c r="U11" s="7">
        <f t="shared" si="0"/>
        <v>0</v>
      </c>
      <c r="V11" s="7">
        <f t="shared" si="0"/>
        <v>0</v>
      </c>
      <c r="W11" s="7">
        <f t="shared" si="0"/>
        <v>1.6340269777854032E-2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0.62746635946959484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14</v>
      </c>
      <c r="C12" s="7">
        <v>4</v>
      </c>
      <c r="D12" s="7">
        <v>35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191</v>
      </c>
      <c r="M12" s="7">
        <v>0</v>
      </c>
      <c r="R12" s="7">
        <f t="shared" si="1"/>
        <v>1.1438188844497823E-2</v>
      </c>
      <c r="S12" s="7">
        <f t="shared" si="0"/>
        <v>3.2680539555708069E-3</v>
      </c>
      <c r="T12" s="7">
        <f t="shared" si="0"/>
        <v>2.8595472111244559E-2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0.156049576378506</v>
      </c>
      <c r="AC12" s="7">
        <f t="shared" si="0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6" spans="2:29" x14ac:dyDescent="0.25">
      <c r="B16" t="s">
        <v>26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71.284332415448702</v>
      </c>
      <c r="C19" s="7">
        <f t="shared" ref="C19:M19" si="2">IFERROR(C2/SUM(C$2:C$13)*100,0)</f>
        <v>19.15282088734709</v>
      </c>
      <c r="D19" s="7">
        <f t="shared" si="2"/>
        <v>2.396058819138613</v>
      </c>
      <c r="E19" s="7">
        <f t="shared" si="2"/>
        <v>8.602569093032308</v>
      </c>
      <c r="F19" s="7">
        <f t="shared" si="2"/>
        <v>0</v>
      </c>
      <c r="G19" s="7">
        <f t="shared" si="2"/>
        <v>7.5851550584646672</v>
      </c>
      <c r="H19" s="7">
        <f t="shared" si="2"/>
        <v>0</v>
      </c>
      <c r="I19" s="7">
        <f t="shared" si="2"/>
        <v>0</v>
      </c>
      <c r="J19" s="7">
        <f t="shared" si="2"/>
        <v>0</v>
      </c>
      <c r="K19" s="7">
        <f t="shared" si="2"/>
        <v>0.55821371610845294</v>
      </c>
      <c r="L19" s="7">
        <f t="shared" si="2"/>
        <v>0</v>
      </c>
      <c r="M19" s="7">
        <f t="shared" si="2"/>
        <v>0</v>
      </c>
      <c r="R19">
        <f>B2*'scoring matrix'!C4</f>
        <v>0</v>
      </c>
      <c r="S19">
        <f>C2*'scoring matrix'!D4</f>
        <v>2098</v>
      </c>
      <c r="T19">
        <f>D2*'scoring matrix'!E4</f>
        <v>6741</v>
      </c>
      <c r="U19">
        <f>E2*'scoring matrix'!F4</f>
        <v>663</v>
      </c>
      <c r="V19">
        <f>F2*'scoring matrix'!G4</f>
        <v>0</v>
      </c>
      <c r="W19">
        <f>G2*'scoring matrix'!H4</f>
        <v>2611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17.5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15.123914424909977</v>
      </c>
      <c r="C20" s="7">
        <f t="shared" si="3"/>
        <v>58.572211064451338</v>
      </c>
      <c r="D20" s="7">
        <f t="shared" si="3"/>
        <v>8.2344305939140607</v>
      </c>
      <c r="E20" s="7">
        <f t="shared" si="3"/>
        <v>2.9194239003503308</v>
      </c>
      <c r="F20" s="7">
        <f t="shared" si="3"/>
        <v>0</v>
      </c>
      <c r="G20" s="7">
        <f t="shared" si="3"/>
        <v>0.74224707676664969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11.004784688995215</v>
      </c>
      <c r="L20" s="7">
        <f t="shared" si="3"/>
        <v>10.37037037037037</v>
      </c>
      <c r="M20" s="7">
        <f t="shared" si="3"/>
        <v>0</v>
      </c>
      <c r="R20">
        <f>B3*'scoring matrix'!C5</f>
        <v>4284</v>
      </c>
      <c r="S20">
        <f>C3*'scoring matrix'!D5</f>
        <v>0</v>
      </c>
      <c r="T20">
        <f>D3*'scoring matrix'!E5</f>
        <v>15720.125</v>
      </c>
      <c r="U20">
        <f>E3*'scoring matrix'!F5</f>
        <v>206.25</v>
      </c>
      <c r="V20">
        <f>F3*'scoring matrix'!G5</f>
        <v>0</v>
      </c>
      <c r="W20">
        <f>G3*'scoring matrix'!H5</f>
        <v>273.75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414</v>
      </c>
      <c r="AB20">
        <f>L3*'scoring matrix'!M5</f>
        <v>105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4.7306361646543813</v>
      </c>
      <c r="C21" s="7">
        <f t="shared" si="3"/>
        <v>12.908526565638123</v>
      </c>
      <c r="D21" s="7">
        <f t="shared" si="3"/>
        <v>86.097633798611625</v>
      </c>
      <c r="E21" s="7">
        <f t="shared" si="3"/>
        <v>22.148695990657842</v>
      </c>
      <c r="F21" s="7">
        <f t="shared" si="3"/>
        <v>0</v>
      </c>
      <c r="G21" s="7">
        <f t="shared" si="3"/>
        <v>3.0299949161159123</v>
      </c>
      <c r="H21" s="7">
        <f t="shared" si="3"/>
        <v>0.42492917847025502</v>
      </c>
      <c r="I21" s="7">
        <f t="shared" si="3"/>
        <v>0.1525320317266626</v>
      </c>
      <c r="J21" s="7">
        <f t="shared" si="3"/>
        <v>2.0876826722338206</v>
      </c>
      <c r="K21" s="7">
        <f t="shared" si="3"/>
        <v>23.843700159489632</v>
      </c>
      <c r="L21" s="7">
        <f t="shared" si="3"/>
        <v>18.888888888888889</v>
      </c>
      <c r="M21" s="7">
        <f t="shared" si="3"/>
        <v>0</v>
      </c>
      <c r="R21">
        <f>B4*'scoring matrix'!C6</f>
        <v>2345</v>
      </c>
      <c r="S21">
        <f>C4*'scoring matrix'!D6</f>
        <v>1679.125</v>
      </c>
      <c r="T21">
        <f>D4*'scoring matrix'!E6</f>
        <v>0</v>
      </c>
      <c r="U21">
        <f>E4*'scoring matrix'!F6</f>
        <v>1138</v>
      </c>
      <c r="V21">
        <f>F4*'scoring matrix'!G6</f>
        <v>0</v>
      </c>
      <c r="W21">
        <f>G4*'scoring matrix'!H6</f>
        <v>1043</v>
      </c>
      <c r="X21">
        <f>H4*'scoring matrix'!I6</f>
        <v>22.5</v>
      </c>
      <c r="Y21">
        <f>I4*'scoring matrix'!J6</f>
        <v>40</v>
      </c>
      <c r="Z21">
        <f>J4*'scoring matrix'!K6</f>
        <v>40</v>
      </c>
      <c r="AA21">
        <f>K4*'scoring matrix'!L6</f>
        <v>822.25</v>
      </c>
      <c r="AB21">
        <f>L4*'scoring matrix'!M6</f>
        <v>165.75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0.96024853491491913</v>
      </c>
      <c r="C22" s="7">
        <f t="shared" si="3"/>
        <v>8.8004381960927507</v>
      </c>
      <c r="D22" s="7">
        <f t="shared" si="3"/>
        <v>1.5563185787862954</v>
      </c>
      <c r="E22" s="7">
        <f t="shared" si="3"/>
        <v>48.034254573764116</v>
      </c>
      <c r="F22" s="7">
        <f t="shared" si="3"/>
        <v>0</v>
      </c>
      <c r="G22" s="7">
        <f t="shared" si="3"/>
        <v>12.841891204880529</v>
      </c>
      <c r="H22" s="7">
        <f t="shared" si="3"/>
        <v>2.1246458923512748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0</v>
      </c>
      <c r="R22">
        <f>B5*'scoring matrix'!C7</f>
        <v>408</v>
      </c>
      <c r="S22">
        <f>C5*'scoring matrix'!D7</f>
        <v>1325.5</v>
      </c>
      <c r="T22">
        <f>D5*'scoring matrix'!E7</f>
        <v>2502</v>
      </c>
      <c r="U22">
        <f>E5*'scoring matrix'!F7</f>
        <v>0</v>
      </c>
      <c r="V22">
        <f>F5*'scoring matrix'!G7</f>
        <v>0</v>
      </c>
      <c r="W22">
        <f>G5*'scoring matrix'!H7</f>
        <v>2526</v>
      </c>
      <c r="X22">
        <f>H5*'scoring matrix'!I7</f>
        <v>67.5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7.0606509920214649E-3</v>
      </c>
      <c r="C23" s="7">
        <f t="shared" si="3"/>
        <v>0</v>
      </c>
      <c r="D23" s="7">
        <f t="shared" si="3"/>
        <v>0.17914458460849442</v>
      </c>
      <c r="E23" s="7">
        <f t="shared" si="3"/>
        <v>0.1557026080186843</v>
      </c>
      <c r="F23" s="7">
        <f t="shared" si="3"/>
        <v>0</v>
      </c>
      <c r="G23" s="7">
        <f t="shared" si="3"/>
        <v>0.30503304524656838</v>
      </c>
      <c r="H23" s="7">
        <f t="shared" si="3"/>
        <v>0</v>
      </c>
      <c r="I23" s="7">
        <f t="shared" si="3"/>
        <v>0.12202562538133008</v>
      </c>
      <c r="J23" s="7">
        <f t="shared" si="3"/>
        <v>20.876826722338205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3.75</v>
      </c>
      <c r="S23">
        <f>C6*'scoring matrix'!D8</f>
        <v>0</v>
      </c>
      <c r="T23">
        <f>D6*'scoring matrix'!E8</f>
        <v>504</v>
      </c>
      <c r="U23">
        <f>E6*'scoring matrix'!F8</f>
        <v>10</v>
      </c>
      <c r="V23">
        <f>F6*'scoring matrix'!G8</f>
        <v>0</v>
      </c>
      <c r="W23">
        <f>G6*'scoring matrix'!H8</f>
        <v>78.75</v>
      </c>
      <c r="X23">
        <f>H6*'scoring matrix'!I8</f>
        <v>0</v>
      </c>
      <c r="Y23">
        <f>I6*'scoring matrix'!J8</f>
        <v>30</v>
      </c>
      <c r="Z23">
        <f>J6*'scoring matrix'!K8</f>
        <v>325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6.1780696180187809</v>
      </c>
      <c r="C24" s="7">
        <f t="shared" si="3"/>
        <v>0.49297060434544454</v>
      </c>
      <c r="D24" s="7">
        <f t="shared" si="3"/>
        <v>1.2515239730287877</v>
      </c>
      <c r="E24" s="7">
        <f t="shared" si="3"/>
        <v>18.100428182172053</v>
      </c>
      <c r="F24" s="7">
        <f t="shared" si="3"/>
        <v>0</v>
      </c>
      <c r="G24" s="7">
        <f t="shared" si="3"/>
        <v>58.129130655821051</v>
      </c>
      <c r="H24" s="7">
        <f t="shared" si="3"/>
        <v>17.138810198300284</v>
      </c>
      <c r="I24" s="7">
        <f t="shared" si="3"/>
        <v>0</v>
      </c>
      <c r="J24" s="7">
        <f t="shared" si="3"/>
        <v>0</v>
      </c>
      <c r="K24" s="7">
        <f t="shared" si="3"/>
        <v>3.3492822966507179</v>
      </c>
      <c r="L24" s="7">
        <f t="shared" si="3"/>
        <v>0</v>
      </c>
      <c r="M24" s="7">
        <f t="shared" si="3"/>
        <v>0</v>
      </c>
      <c r="P24" s="2"/>
      <c r="R24">
        <f>B7*'scoring matrix'!C9</f>
        <v>3062.5</v>
      </c>
      <c r="S24">
        <f>C7*'scoring matrix'!D9</f>
        <v>101.25</v>
      </c>
      <c r="T24">
        <f>D7*'scoring matrix'!E9</f>
        <v>3521</v>
      </c>
      <c r="U24">
        <f>E7*'scoring matrix'!F9</f>
        <v>930</v>
      </c>
      <c r="V24">
        <f>F7*'scoring matrix'!G9</f>
        <v>0</v>
      </c>
      <c r="W24">
        <f>G7*'scoring matrix'!H9</f>
        <v>0</v>
      </c>
      <c r="X24">
        <f>H7*'scoring matrix'!I9</f>
        <v>332.75</v>
      </c>
      <c r="Y24">
        <f>I7*'scoring matrix'!J9</f>
        <v>0</v>
      </c>
      <c r="Z24">
        <f>J7*'scoring matrix'!K9</f>
        <v>0</v>
      </c>
      <c r="AA24">
        <f>K7*'scoring matrix'!L9</f>
        <v>147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1.5251006142766361</v>
      </c>
      <c r="C25" s="7">
        <f t="shared" si="3"/>
        <v>0</v>
      </c>
      <c r="D25" s="7">
        <f t="shared" si="3"/>
        <v>1.2440596153367671E-3</v>
      </c>
      <c r="E25" s="7">
        <f t="shared" si="3"/>
        <v>3.8925652004671074E-2</v>
      </c>
      <c r="F25" s="7">
        <f t="shared" si="3"/>
        <v>0</v>
      </c>
      <c r="G25" s="7">
        <f t="shared" si="3"/>
        <v>15.790543975597357</v>
      </c>
      <c r="H25" s="7">
        <f t="shared" si="3"/>
        <v>80.31161473087819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756</v>
      </c>
      <c r="S25">
        <f>C8*'scoring matrix'!D10</f>
        <v>0</v>
      </c>
      <c r="T25">
        <f>D8*'scoring matrix'!E10</f>
        <v>3.75</v>
      </c>
      <c r="U25">
        <f>E8*'scoring matrix'!F10</f>
        <v>2.25</v>
      </c>
      <c r="V25">
        <f>F8*'scoring matrix'!G10</f>
        <v>0</v>
      </c>
      <c r="W25">
        <f>G8*'scoring matrix'!H10</f>
        <v>2135.375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60797.625</v>
      </c>
    </row>
    <row r="26" spans="1:31" ht="23.25" customHeight="1" x14ac:dyDescent="0.25">
      <c r="A26" s="3" t="s">
        <v>7</v>
      </c>
      <c r="B26" s="7">
        <f t="shared" si="3"/>
        <v>0</v>
      </c>
      <c r="C26" s="7">
        <f t="shared" si="3"/>
        <v>0</v>
      </c>
      <c r="D26" s="7">
        <f t="shared" si="3"/>
        <v>1.9904953845388273E-2</v>
      </c>
      <c r="E26" s="7">
        <f t="shared" si="3"/>
        <v>0</v>
      </c>
      <c r="F26" s="7">
        <f t="shared" si="3"/>
        <v>0</v>
      </c>
      <c r="G26" s="7">
        <f t="shared" si="3"/>
        <v>2.0335536349771224E-2</v>
      </c>
      <c r="H26" s="7">
        <f t="shared" si="3"/>
        <v>0</v>
      </c>
      <c r="I26" s="7">
        <f t="shared" si="3"/>
        <v>98.718730933496033</v>
      </c>
      <c r="J26" s="7">
        <f t="shared" si="3"/>
        <v>1.6701461377870561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0</v>
      </c>
      <c r="S26">
        <f>C9*'scoring matrix'!D11</f>
        <v>0</v>
      </c>
      <c r="T26">
        <f>D9*'scoring matrix'!E11</f>
        <v>64</v>
      </c>
      <c r="U26">
        <f>E9*'scoring matrix'!F11</f>
        <v>0</v>
      </c>
      <c r="V26">
        <f>F9*'scoring matrix'!G11</f>
        <v>0</v>
      </c>
      <c r="W26">
        <f>G9*'scoring matrix'!H11</f>
        <v>8</v>
      </c>
      <c r="X26">
        <f>H9*'scoring matrix'!I11</f>
        <v>0</v>
      </c>
      <c r="Y26">
        <f>I9*'scoring matrix'!J11</f>
        <v>0</v>
      </c>
      <c r="Z26">
        <f>J9*'scoring matrix'!K11</f>
        <v>22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9.1788462896279038E-2</v>
      </c>
      <c r="C27" s="7">
        <f t="shared" si="3"/>
        <v>0</v>
      </c>
      <c r="D27" s="7">
        <f t="shared" si="3"/>
        <v>2.9857430768082407E-2</v>
      </c>
      <c r="E27" s="7">
        <f t="shared" si="3"/>
        <v>0</v>
      </c>
      <c r="F27" s="7">
        <f t="shared" si="3"/>
        <v>0</v>
      </c>
      <c r="G27" s="7">
        <f t="shared" si="3"/>
        <v>1.3523131672597866</v>
      </c>
      <c r="H27" s="7">
        <f t="shared" si="3"/>
        <v>0</v>
      </c>
      <c r="I27" s="7">
        <f t="shared" si="3"/>
        <v>1.006711409395973</v>
      </c>
      <c r="J27" s="7">
        <f t="shared" si="3"/>
        <v>75.365344467640909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52</v>
      </c>
      <c r="S27">
        <f>C10*'scoring matrix'!D12</f>
        <v>0</v>
      </c>
      <c r="T27">
        <f>D10*'scoring matrix'!E12</f>
        <v>96</v>
      </c>
      <c r="U27">
        <f>E10*'scoring matrix'!F12</f>
        <v>0</v>
      </c>
      <c r="V27">
        <f>F10*'scoring matrix'!G12</f>
        <v>0</v>
      </c>
      <c r="W27">
        <f>G10*'scoring matrix'!H12</f>
        <v>498.75</v>
      </c>
      <c r="X27">
        <f>H10*'scoring matrix'!I12</f>
        <v>0</v>
      </c>
      <c r="Y27">
        <f>I10*'scoring matrix'!J12</f>
        <v>181.5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0</v>
      </c>
      <c r="C28" s="7">
        <f t="shared" si="3"/>
        <v>0</v>
      </c>
      <c r="D28" s="7">
        <f t="shared" si="3"/>
        <v>0.19034112114652532</v>
      </c>
      <c r="E28" s="7">
        <f t="shared" si="3"/>
        <v>0</v>
      </c>
      <c r="F28" s="7">
        <f t="shared" si="3"/>
        <v>0</v>
      </c>
      <c r="G28" s="7">
        <f t="shared" si="3"/>
        <v>0.20335536349771224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61.244019138755981</v>
      </c>
      <c r="L28" s="7">
        <f t="shared" si="3"/>
        <v>0</v>
      </c>
      <c r="M28" s="7">
        <f t="shared" si="3"/>
        <v>0</v>
      </c>
      <c r="R28">
        <f>B11*'scoring matrix'!C13</f>
        <v>0</v>
      </c>
      <c r="S28">
        <f>C11*'scoring matrix'!D13</f>
        <v>0</v>
      </c>
      <c r="T28">
        <f>D11*'scoring matrix'!E13</f>
        <v>420.75</v>
      </c>
      <c r="U28">
        <f>E11*'scoring matrix'!F13</f>
        <v>0</v>
      </c>
      <c r="V28">
        <f>F11*'scoring matrix'!G13</f>
        <v>0</v>
      </c>
      <c r="W28">
        <f>G11*'scoring matrix'!H13</f>
        <v>70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9.8849113888300505E-2</v>
      </c>
      <c r="C29" s="7">
        <f t="shared" si="3"/>
        <v>7.3032682125251061E-2</v>
      </c>
      <c r="D29" s="7">
        <f t="shared" si="3"/>
        <v>4.3542086536786838E-2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70.740740740740733</v>
      </c>
      <c r="M29" s="7">
        <f t="shared" si="3"/>
        <v>0</v>
      </c>
      <c r="R29">
        <f>B12*'scoring matrix'!C14</f>
        <v>54.25</v>
      </c>
      <c r="S29">
        <f>C12*'scoring matrix'!D14</f>
        <v>15</v>
      </c>
      <c r="T29">
        <f>D12*'scoring matrix'!E14</f>
        <v>113.75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FB7E6-A9AC-4DBA-9273-92760AD5F070}">
  <dimension ref="A2:AE31"/>
  <sheetViews>
    <sheetView workbookViewId="0">
      <selection activeCell="R19" sqref="R19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10196</v>
      </c>
      <c r="C2" s="7">
        <v>2396</v>
      </c>
      <c r="D2" s="7">
        <v>1193</v>
      </c>
      <c r="E2" s="7">
        <v>23</v>
      </c>
      <c r="F2" s="7">
        <v>0</v>
      </c>
      <c r="G2" s="7">
        <v>235</v>
      </c>
      <c r="H2" s="7">
        <v>0</v>
      </c>
      <c r="I2" s="7">
        <v>0</v>
      </c>
      <c r="J2" s="7">
        <v>0</v>
      </c>
      <c r="K2" s="7">
        <v>0</v>
      </c>
      <c r="L2" s="7">
        <v>2</v>
      </c>
      <c r="M2" s="7">
        <v>0</v>
      </c>
      <c r="O2" s="8">
        <f>SUM(B2:M13)</f>
        <v>122397</v>
      </c>
      <c r="R2" s="7">
        <f>B2/$O$2*100</f>
        <v>8.3302695327499858</v>
      </c>
      <c r="S2" s="7">
        <f t="shared" ref="S2:AC13" si="0">C2/$O$2*100</f>
        <v>1.957564319386913</v>
      </c>
      <c r="T2" s="7">
        <f t="shared" si="0"/>
        <v>0.97469709224899304</v>
      </c>
      <c r="U2" s="7">
        <f t="shared" si="0"/>
        <v>1.8791310244532136E-2</v>
      </c>
      <c r="V2" s="7">
        <f t="shared" si="0"/>
        <v>0</v>
      </c>
      <c r="W2" s="7">
        <f t="shared" si="0"/>
        <v>0.19199816988978488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1.6340269777854034E-3</v>
      </c>
      <c r="AC2" s="7">
        <f t="shared" si="0"/>
        <v>0</v>
      </c>
    </row>
    <row r="3" spans="2:29" x14ac:dyDescent="0.25">
      <c r="B3" s="7">
        <v>1746</v>
      </c>
      <c r="C3" s="7">
        <v>5068</v>
      </c>
      <c r="D3" s="7">
        <v>5143</v>
      </c>
      <c r="E3" s="7">
        <v>250</v>
      </c>
      <c r="F3" s="7">
        <v>0</v>
      </c>
      <c r="G3" s="7">
        <v>22</v>
      </c>
      <c r="H3" s="7">
        <v>0</v>
      </c>
      <c r="I3" s="7">
        <v>0</v>
      </c>
      <c r="J3" s="7">
        <v>0</v>
      </c>
      <c r="K3" s="7">
        <v>32</v>
      </c>
      <c r="L3" s="7">
        <v>22</v>
      </c>
      <c r="M3" s="7">
        <v>0</v>
      </c>
      <c r="R3" s="7">
        <f t="shared" ref="R3:R13" si="1">B3/$O$2*100</f>
        <v>1.4265055516066569</v>
      </c>
      <c r="S3" s="7">
        <f t="shared" si="0"/>
        <v>4.1406243617082117</v>
      </c>
      <c r="T3" s="7">
        <f t="shared" si="0"/>
        <v>4.2019003733751639</v>
      </c>
      <c r="U3" s="7">
        <f t="shared" si="0"/>
        <v>0.20425337222317541</v>
      </c>
      <c r="V3" s="7">
        <f t="shared" si="0"/>
        <v>0</v>
      </c>
      <c r="W3" s="7">
        <f t="shared" si="0"/>
        <v>1.7974296755639437E-2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2.6144431644566455E-2</v>
      </c>
      <c r="AB3" s="7">
        <f t="shared" si="0"/>
        <v>1.7974296755639437E-2</v>
      </c>
      <c r="AC3" s="7">
        <f t="shared" si="0"/>
        <v>0</v>
      </c>
    </row>
    <row r="4" spans="2:29" x14ac:dyDescent="0.25">
      <c r="B4" s="7">
        <v>674</v>
      </c>
      <c r="C4" s="7">
        <v>2098</v>
      </c>
      <c r="D4" s="7">
        <v>67689</v>
      </c>
      <c r="E4" s="7">
        <v>820</v>
      </c>
      <c r="F4" s="7">
        <v>17</v>
      </c>
      <c r="G4" s="7">
        <v>232</v>
      </c>
      <c r="H4" s="7">
        <v>33</v>
      </c>
      <c r="I4" s="7">
        <v>2</v>
      </c>
      <c r="J4" s="7">
        <v>6</v>
      </c>
      <c r="K4" s="7">
        <v>222</v>
      </c>
      <c r="L4" s="7">
        <v>34</v>
      </c>
      <c r="M4" s="7">
        <v>0</v>
      </c>
      <c r="R4" s="7">
        <f t="shared" si="1"/>
        <v>0.55066709151368087</v>
      </c>
      <c r="S4" s="7">
        <f t="shared" si="0"/>
        <v>1.7140942996968878</v>
      </c>
      <c r="T4" s="7">
        <f>D4/$O$2*100</f>
        <v>55.30282604965808</v>
      </c>
      <c r="U4" s="7">
        <f t="shared" si="0"/>
        <v>0.66995106089201539</v>
      </c>
      <c r="V4" s="7">
        <f t="shared" si="0"/>
        <v>1.3889229311175928E-2</v>
      </c>
      <c r="W4" s="7">
        <f t="shared" si="0"/>
        <v>0.18954712942310678</v>
      </c>
      <c r="X4" s="7">
        <f t="shared" si="0"/>
        <v>2.6961445133459154E-2</v>
      </c>
      <c r="Y4" s="7">
        <f t="shared" si="0"/>
        <v>1.6340269777854034E-3</v>
      </c>
      <c r="Z4" s="7">
        <f t="shared" si="0"/>
        <v>4.9020809333562097E-3</v>
      </c>
      <c r="AA4" s="7">
        <f t="shared" si="0"/>
        <v>0.18137699453417977</v>
      </c>
      <c r="AB4" s="7">
        <f t="shared" si="0"/>
        <v>2.7778458622351856E-2</v>
      </c>
      <c r="AC4" s="7">
        <f t="shared" si="0"/>
        <v>0</v>
      </c>
    </row>
    <row r="5" spans="2:29" x14ac:dyDescent="0.25">
      <c r="B5" s="7">
        <v>18</v>
      </c>
      <c r="C5" s="7">
        <v>152</v>
      </c>
      <c r="D5" s="7">
        <v>1734</v>
      </c>
      <c r="E5" s="7">
        <v>1606</v>
      </c>
      <c r="F5" s="7">
        <v>2</v>
      </c>
      <c r="G5" s="7">
        <v>797</v>
      </c>
      <c r="H5" s="7">
        <v>82</v>
      </c>
      <c r="I5" s="7">
        <v>0</v>
      </c>
      <c r="J5" s="7">
        <v>0</v>
      </c>
      <c r="K5" s="7">
        <v>5</v>
      </c>
      <c r="L5" s="7">
        <v>0</v>
      </c>
      <c r="M5" s="7">
        <v>0</v>
      </c>
      <c r="R5" s="7">
        <f t="shared" si="1"/>
        <v>1.4706242800068629E-2</v>
      </c>
      <c r="S5" s="7">
        <f t="shared" si="0"/>
        <v>0.12418605031169064</v>
      </c>
      <c r="T5" s="7">
        <f t="shared" si="0"/>
        <v>1.4167013897399445</v>
      </c>
      <c r="U5" s="7">
        <f t="shared" si="0"/>
        <v>1.3121236631616788</v>
      </c>
      <c r="V5" s="7">
        <f t="shared" si="0"/>
        <v>1.6340269777854034E-3</v>
      </c>
      <c r="W5" s="7">
        <f t="shared" si="0"/>
        <v>0.65115975064748322</v>
      </c>
      <c r="X5" s="7">
        <f t="shared" si="0"/>
        <v>6.6995106089201534E-2</v>
      </c>
      <c r="Y5" s="7">
        <f t="shared" si="0"/>
        <v>0</v>
      </c>
      <c r="Z5" s="7">
        <f t="shared" si="0"/>
        <v>0</v>
      </c>
      <c r="AA5" s="7">
        <f t="shared" si="0"/>
        <v>4.0850674444635081E-3</v>
      </c>
      <c r="AB5" s="7">
        <f t="shared" si="0"/>
        <v>0</v>
      </c>
      <c r="AC5" s="7">
        <f t="shared" si="0"/>
        <v>0</v>
      </c>
    </row>
    <row r="6" spans="2:29" x14ac:dyDescent="0.25">
      <c r="B6" s="7">
        <v>4</v>
      </c>
      <c r="C6" s="7">
        <v>0</v>
      </c>
      <c r="D6" s="7">
        <v>157</v>
      </c>
      <c r="E6" s="7">
        <v>4</v>
      </c>
      <c r="F6" s="7">
        <v>82</v>
      </c>
      <c r="G6" s="7">
        <v>12</v>
      </c>
      <c r="H6" s="7">
        <v>0</v>
      </c>
      <c r="I6" s="7">
        <v>0</v>
      </c>
      <c r="J6" s="7">
        <v>28</v>
      </c>
      <c r="K6" s="7">
        <v>0</v>
      </c>
      <c r="L6" s="7">
        <v>0</v>
      </c>
      <c r="M6" s="7">
        <v>0</v>
      </c>
      <c r="R6" s="7">
        <f t="shared" si="1"/>
        <v>3.2680539555708069E-3</v>
      </c>
      <c r="S6" s="7">
        <f t="shared" si="0"/>
        <v>0</v>
      </c>
      <c r="T6" s="7">
        <f t="shared" si="0"/>
        <v>0.12827111775615416</v>
      </c>
      <c r="U6" s="7">
        <f t="shared" si="0"/>
        <v>3.2680539555708069E-3</v>
      </c>
      <c r="V6" s="7">
        <f t="shared" si="0"/>
        <v>6.6995106089201534E-2</v>
      </c>
      <c r="W6" s="7">
        <f t="shared" si="0"/>
        <v>9.8041618667124193E-3</v>
      </c>
      <c r="X6" s="7">
        <f t="shared" si="0"/>
        <v>0</v>
      </c>
      <c r="Y6" s="7">
        <f t="shared" si="0"/>
        <v>0</v>
      </c>
      <c r="Z6" s="7">
        <f t="shared" si="0"/>
        <v>2.2876377688995645E-2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2:29" x14ac:dyDescent="0.25">
      <c r="B7" s="7">
        <v>753</v>
      </c>
      <c r="C7" s="7">
        <v>51</v>
      </c>
      <c r="D7" s="7">
        <v>1062</v>
      </c>
      <c r="E7" s="7">
        <v>1034</v>
      </c>
      <c r="F7" s="7">
        <v>13</v>
      </c>
      <c r="G7" s="7">
        <v>5377</v>
      </c>
      <c r="H7" s="7">
        <v>16</v>
      </c>
      <c r="I7" s="7">
        <v>0</v>
      </c>
      <c r="J7" s="7">
        <v>40</v>
      </c>
      <c r="K7" s="7">
        <v>28</v>
      </c>
      <c r="L7" s="7">
        <v>0</v>
      </c>
      <c r="M7" s="7">
        <v>0</v>
      </c>
      <c r="R7" s="7">
        <f t="shared" si="1"/>
        <v>0.61521115713620422</v>
      </c>
      <c r="S7" s="7">
        <f t="shared" si="0"/>
        <v>4.1667687933527785E-2</v>
      </c>
      <c r="T7" s="7">
        <f t="shared" si="0"/>
        <v>0.86766832520404924</v>
      </c>
      <c r="U7" s="7">
        <f t="shared" si="0"/>
        <v>0.84479194751505349</v>
      </c>
      <c r="V7" s="7">
        <f t="shared" si="0"/>
        <v>1.062117535560512E-2</v>
      </c>
      <c r="W7" s="7">
        <f t="shared" si="0"/>
        <v>4.3930815297760564</v>
      </c>
      <c r="X7" s="7">
        <f t="shared" si="0"/>
        <v>1.3072215822283227E-2</v>
      </c>
      <c r="Y7" s="7">
        <f t="shared" si="0"/>
        <v>0</v>
      </c>
      <c r="Z7" s="7">
        <f t="shared" si="0"/>
        <v>3.2680539555708064E-2</v>
      </c>
      <c r="AA7" s="7">
        <f t="shared" si="0"/>
        <v>2.2876377688995645E-2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50</v>
      </c>
      <c r="C8" s="7">
        <v>0</v>
      </c>
      <c r="D8" s="7">
        <v>0</v>
      </c>
      <c r="E8" s="7">
        <v>49</v>
      </c>
      <c r="F8" s="7">
        <v>0</v>
      </c>
      <c r="G8" s="7">
        <v>1653</v>
      </c>
      <c r="H8" s="7">
        <v>1153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4.0850674444635082E-2</v>
      </c>
      <c r="S8" s="7">
        <f t="shared" si="0"/>
        <v>0</v>
      </c>
      <c r="T8" s="7">
        <f t="shared" si="0"/>
        <v>0</v>
      </c>
      <c r="U8" s="7">
        <f t="shared" si="0"/>
        <v>4.003366095574238E-2</v>
      </c>
      <c r="V8" s="7">
        <f t="shared" si="0"/>
        <v>0</v>
      </c>
      <c r="W8" s="7">
        <f t="shared" si="0"/>
        <v>1.3505232971396359</v>
      </c>
      <c r="X8" s="7">
        <f t="shared" si="0"/>
        <v>0.94201655269328488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8</v>
      </c>
      <c r="C9" s="7">
        <v>0</v>
      </c>
      <c r="D9" s="7">
        <v>200</v>
      </c>
      <c r="E9" s="7">
        <v>0</v>
      </c>
      <c r="F9" s="7">
        <v>27</v>
      </c>
      <c r="G9" s="7">
        <v>2</v>
      </c>
      <c r="H9" s="7">
        <v>0</v>
      </c>
      <c r="I9" s="7">
        <v>6260</v>
      </c>
      <c r="J9" s="7">
        <v>1</v>
      </c>
      <c r="K9" s="7">
        <v>0</v>
      </c>
      <c r="L9" s="7">
        <v>0</v>
      </c>
      <c r="M9" s="7">
        <v>0</v>
      </c>
      <c r="R9" s="7">
        <f t="shared" si="1"/>
        <v>6.5361079111416137E-3</v>
      </c>
      <c r="S9" s="7">
        <f t="shared" si="0"/>
        <v>0</v>
      </c>
      <c r="T9" s="7">
        <f t="shared" si="0"/>
        <v>0.16340269777854033</v>
      </c>
      <c r="U9" s="7">
        <f t="shared" si="0"/>
        <v>0</v>
      </c>
      <c r="V9" s="7">
        <f t="shared" si="0"/>
        <v>2.2059364200102943E-2</v>
      </c>
      <c r="W9" s="7">
        <f t="shared" si="0"/>
        <v>1.6340269777854034E-3</v>
      </c>
      <c r="X9" s="7">
        <f t="shared" si="0"/>
        <v>0</v>
      </c>
      <c r="Y9" s="7">
        <f t="shared" si="0"/>
        <v>5.1145044404683118</v>
      </c>
      <c r="Z9" s="7">
        <f t="shared" si="0"/>
        <v>8.1701348889270172E-4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20</v>
      </c>
      <c r="C10" s="7">
        <v>3</v>
      </c>
      <c r="D10" s="7">
        <v>7</v>
      </c>
      <c r="E10" s="7">
        <v>0</v>
      </c>
      <c r="F10" s="7">
        <v>61</v>
      </c>
      <c r="G10" s="7">
        <v>37</v>
      </c>
      <c r="H10" s="7">
        <v>0</v>
      </c>
      <c r="I10" s="7">
        <v>75</v>
      </c>
      <c r="J10" s="7">
        <v>394</v>
      </c>
      <c r="K10" s="7">
        <v>0</v>
      </c>
      <c r="L10" s="7">
        <v>0</v>
      </c>
      <c r="M10" s="7">
        <v>0</v>
      </c>
      <c r="R10" s="7">
        <f t="shared" si="1"/>
        <v>1.6340269777854032E-2</v>
      </c>
      <c r="S10" s="7">
        <f t="shared" si="0"/>
        <v>2.4510404666781048E-3</v>
      </c>
      <c r="T10" s="7">
        <f t="shared" si="0"/>
        <v>5.7190944222489113E-3</v>
      </c>
      <c r="U10" s="7">
        <f t="shared" si="0"/>
        <v>0</v>
      </c>
      <c r="V10" s="7">
        <f t="shared" si="0"/>
        <v>4.9837822822454796E-2</v>
      </c>
      <c r="W10" s="7">
        <f t="shared" si="0"/>
        <v>3.022949908902996E-2</v>
      </c>
      <c r="X10" s="7">
        <f t="shared" si="0"/>
        <v>0</v>
      </c>
      <c r="Y10" s="7">
        <f t="shared" si="0"/>
        <v>6.1276011666952623E-2</v>
      </c>
      <c r="Z10" s="7">
        <f t="shared" si="0"/>
        <v>0.32190331462372446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116</v>
      </c>
      <c r="C11" s="7">
        <v>2</v>
      </c>
      <c r="D11" s="7">
        <v>487</v>
      </c>
      <c r="E11" s="7">
        <v>0</v>
      </c>
      <c r="F11" s="7">
        <v>0</v>
      </c>
      <c r="G11" s="7">
        <v>9</v>
      </c>
      <c r="H11" s="7">
        <v>0</v>
      </c>
      <c r="I11" s="7">
        <v>0</v>
      </c>
      <c r="J11" s="7">
        <v>0</v>
      </c>
      <c r="K11" s="7">
        <v>327</v>
      </c>
      <c r="L11" s="7">
        <v>0</v>
      </c>
      <c r="M11" s="7">
        <v>0</v>
      </c>
      <c r="R11" s="7">
        <f t="shared" si="1"/>
        <v>9.477356471155339E-2</v>
      </c>
      <c r="S11" s="7">
        <f t="shared" si="0"/>
        <v>1.6340269777854034E-3</v>
      </c>
      <c r="T11" s="7">
        <f t="shared" si="0"/>
        <v>0.39788556909074568</v>
      </c>
      <c r="U11" s="7">
        <f t="shared" si="0"/>
        <v>0</v>
      </c>
      <c r="V11" s="7">
        <f t="shared" si="0"/>
        <v>0</v>
      </c>
      <c r="W11" s="7">
        <f t="shared" si="0"/>
        <v>7.3531214000343145E-3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0.2671634108679134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13</v>
      </c>
      <c r="C12" s="7">
        <v>16</v>
      </c>
      <c r="D12" s="7">
        <v>34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181</v>
      </c>
      <c r="M12" s="7">
        <v>0</v>
      </c>
      <c r="R12" s="7">
        <f t="shared" si="1"/>
        <v>1.062117535560512E-2</v>
      </c>
      <c r="S12" s="7">
        <f t="shared" si="0"/>
        <v>1.3072215822283227E-2</v>
      </c>
      <c r="T12" s="7">
        <f t="shared" si="0"/>
        <v>2.7778458622351856E-2</v>
      </c>
      <c r="U12" s="7">
        <f t="shared" si="0"/>
        <v>0</v>
      </c>
      <c r="V12" s="7">
        <f t="shared" si="0"/>
        <v>0</v>
      </c>
      <c r="W12" s="7">
        <f t="shared" si="0"/>
        <v>0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0.14787944148957899</v>
      </c>
      <c r="AC12" s="7">
        <f t="shared" si="0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6" spans="2:29" x14ac:dyDescent="0.25">
      <c r="B16" t="s">
        <v>26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74.981614943374026</v>
      </c>
      <c r="C19" s="7">
        <f t="shared" ref="C19:M19" si="2">IFERROR(C2/SUM(C$2:C$13)*100,0)</f>
        <v>24.483956672797873</v>
      </c>
      <c r="D19" s="7">
        <f t="shared" si="2"/>
        <v>1.5352739814171366</v>
      </c>
      <c r="E19" s="7">
        <f t="shared" si="2"/>
        <v>0.60750132065504492</v>
      </c>
      <c r="F19" s="7">
        <f t="shared" si="2"/>
        <v>0</v>
      </c>
      <c r="G19" s="7">
        <f t="shared" si="2"/>
        <v>2.805635148042025</v>
      </c>
      <c r="H19" s="7">
        <f t="shared" si="2"/>
        <v>0</v>
      </c>
      <c r="I19" s="7">
        <f t="shared" si="2"/>
        <v>0</v>
      </c>
      <c r="J19" s="7">
        <f t="shared" si="2"/>
        <v>0</v>
      </c>
      <c r="K19" s="7">
        <f t="shared" si="2"/>
        <v>0</v>
      </c>
      <c r="L19" s="7">
        <f t="shared" si="2"/>
        <v>0.83682008368200833</v>
      </c>
      <c r="M19" s="7">
        <f t="shared" si="2"/>
        <v>0</v>
      </c>
      <c r="R19">
        <f>B2*'scoring matrix'!C4</f>
        <v>0</v>
      </c>
      <c r="S19">
        <f>C2*'scoring matrix'!D4</f>
        <v>4792</v>
      </c>
      <c r="T19">
        <f>D2*'scoring matrix'!E4</f>
        <v>4175.5</v>
      </c>
      <c r="U19">
        <f>E2*'scoring matrix'!F4</f>
        <v>69</v>
      </c>
      <c r="V19">
        <f>F2*'scoring matrix'!G4</f>
        <v>0</v>
      </c>
      <c r="W19">
        <f>G2*'scoring matrix'!H4</f>
        <v>822.5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0</v>
      </c>
      <c r="AB19">
        <f>L2*'scoring matrix'!M4</f>
        <v>7.75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12.840123547580525</v>
      </c>
      <c r="C20" s="7">
        <f t="shared" si="3"/>
        <v>51.788268955650928</v>
      </c>
      <c r="D20" s="7">
        <f t="shared" si="3"/>
        <v>6.6185365351452923</v>
      </c>
      <c r="E20" s="7">
        <f t="shared" si="3"/>
        <v>6.603275224511358</v>
      </c>
      <c r="F20" s="7">
        <f t="shared" si="3"/>
        <v>0</v>
      </c>
      <c r="G20" s="7">
        <f t="shared" si="3"/>
        <v>0.26265520534861508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5.2117263843648214</v>
      </c>
      <c r="L20" s="7">
        <f t="shared" si="3"/>
        <v>9.2050209205020916</v>
      </c>
      <c r="M20" s="7">
        <f t="shared" si="3"/>
        <v>0</v>
      </c>
      <c r="R20">
        <f>B3*'scoring matrix'!C5</f>
        <v>3492</v>
      </c>
      <c r="S20">
        <f>C3*'scoring matrix'!D5</f>
        <v>0</v>
      </c>
      <c r="T20">
        <f>D3*'scoring matrix'!E5</f>
        <v>12214.625</v>
      </c>
      <c r="U20">
        <f>E3*'scoring matrix'!F5</f>
        <v>687.5</v>
      </c>
      <c r="V20">
        <f>F3*'scoring matrix'!G5</f>
        <v>0</v>
      </c>
      <c r="W20">
        <f>G3*'scoring matrix'!H5</f>
        <v>82.5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96</v>
      </c>
      <c r="AB20">
        <f>L3*'scoring matrix'!M5</f>
        <v>82.5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4.9566112663627004</v>
      </c>
      <c r="C21" s="7">
        <f t="shared" si="3"/>
        <v>21.438790108318006</v>
      </c>
      <c r="D21" s="7">
        <f t="shared" si="3"/>
        <v>87.109103544127862</v>
      </c>
      <c r="E21" s="7">
        <f t="shared" si="3"/>
        <v>21.658742736397251</v>
      </c>
      <c r="F21" s="7">
        <f t="shared" si="3"/>
        <v>8.4158415841584162</v>
      </c>
      <c r="G21" s="7">
        <f t="shared" si="3"/>
        <v>2.7698185291308501</v>
      </c>
      <c r="H21" s="7">
        <f t="shared" si="3"/>
        <v>2.570093457943925</v>
      </c>
      <c r="I21" s="7">
        <f t="shared" si="3"/>
        <v>3.1560675398453523E-2</v>
      </c>
      <c r="J21" s="7">
        <f t="shared" si="3"/>
        <v>1.279317697228145</v>
      </c>
      <c r="K21" s="7">
        <f t="shared" si="3"/>
        <v>36.156351791530945</v>
      </c>
      <c r="L21" s="7">
        <f t="shared" si="3"/>
        <v>14.225941422594143</v>
      </c>
      <c r="M21" s="7">
        <f t="shared" si="3"/>
        <v>0</v>
      </c>
      <c r="R21">
        <f>B4*'scoring matrix'!C6</f>
        <v>2359</v>
      </c>
      <c r="S21">
        <f>C4*'scoring matrix'!D6</f>
        <v>4982.75</v>
      </c>
      <c r="T21">
        <f>D4*'scoring matrix'!E6</f>
        <v>0</v>
      </c>
      <c r="U21">
        <f>E4*'scoring matrix'!F6</f>
        <v>1640</v>
      </c>
      <c r="V21">
        <f>F4*'scoring matrix'!G6</f>
        <v>59.5</v>
      </c>
      <c r="W21">
        <f>G4*'scoring matrix'!H6</f>
        <v>812</v>
      </c>
      <c r="X21">
        <f>H4*'scoring matrix'!I6</f>
        <v>123.75</v>
      </c>
      <c r="Y21">
        <f>I4*'scoring matrix'!J6</f>
        <v>8</v>
      </c>
      <c r="Z21">
        <f>J4*'scoring matrix'!K6</f>
        <v>24</v>
      </c>
      <c r="AA21">
        <f>K4*'scoring matrix'!L6</f>
        <v>610.5</v>
      </c>
      <c r="AB21">
        <f>L4*'scoring matrix'!M6</f>
        <v>110.5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0.13237240770701575</v>
      </c>
      <c r="C22" s="7">
        <f t="shared" si="3"/>
        <v>1.5532393214796647</v>
      </c>
      <c r="D22" s="7">
        <f t="shared" si="3"/>
        <v>2.231487915991043</v>
      </c>
      <c r="E22" s="7">
        <f t="shared" si="3"/>
        <v>42.419440042260966</v>
      </c>
      <c r="F22" s="7">
        <f t="shared" si="3"/>
        <v>0.99009900990099009</v>
      </c>
      <c r="G22" s="7">
        <f t="shared" si="3"/>
        <v>9.5152817574021018</v>
      </c>
      <c r="H22" s="7">
        <f t="shared" si="3"/>
        <v>6.3862928348909653</v>
      </c>
      <c r="I22" s="7">
        <f t="shared" si="3"/>
        <v>0</v>
      </c>
      <c r="J22" s="7">
        <f t="shared" si="3"/>
        <v>0</v>
      </c>
      <c r="K22" s="7">
        <f t="shared" si="3"/>
        <v>0.81433224755700329</v>
      </c>
      <c r="L22" s="7">
        <f t="shared" si="3"/>
        <v>0</v>
      </c>
      <c r="M22" s="7">
        <f t="shared" si="3"/>
        <v>0</v>
      </c>
      <c r="R22">
        <f>B5*'scoring matrix'!C7</f>
        <v>54</v>
      </c>
      <c r="S22">
        <f>C5*'scoring matrix'!D7</f>
        <v>418</v>
      </c>
      <c r="T22">
        <f>D5*'scoring matrix'!E7</f>
        <v>3468</v>
      </c>
      <c r="U22">
        <f>E5*'scoring matrix'!F7</f>
        <v>0</v>
      </c>
      <c r="V22">
        <f>F5*'scoring matrix'!G7</f>
        <v>5</v>
      </c>
      <c r="W22">
        <f>G5*'scoring matrix'!H7</f>
        <v>1594</v>
      </c>
      <c r="X22">
        <f>H5*'scoring matrix'!I7</f>
        <v>184.5</v>
      </c>
      <c r="Y22">
        <f>I5*'scoring matrix'!J7</f>
        <v>0</v>
      </c>
      <c r="Z22">
        <f>J5*'scoring matrix'!K7</f>
        <v>0</v>
      </c>
      <c r="AA22">
        <f>K5*'scoring matrix'!L7</f>
        <v>16.875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2.9416090601559051E-2</v>
      </c>
      <c r="C23" s="7">
        <f t="shared" si="3"/>
        <v>0</v>
      </c>
      <c r="D23" s="7">
        <f t="shared" si="3"/>
        <v>0.20204360023678997</v>
      </c>
      <c r="E23" s="7">
        <f t="shared" si="3"/>
        <v>0.10565240359218173</v>
      </c>
      <c r="F23" s="7">
        <f t="shared" si="3"/>
        <v>40.594059405940598</v>
      </c>
      <c r="G23" s="7">
        <f t="shared" si="3"/>
        <v>0.14326647564469913</v>
      </c>
      <c r="H23" s="7">
        <f t="shared" si="3"/>
        <v>0</v>
      </c>
      <c r="I23" s="7">
        <f t="shared" si="3"/>
        <v>0</v>
      </c>
      <c r="J23" s="7">
        <f t="shared" si="3"/>
        <v>5.9701492537313428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15</v>
      </c>
      <c r="S23">
        <f>C6*'scoring matrix'!D8</f>
        <v>0</v>
      </c>
      <c r="T23">
        <f>D6*'scoring matrix'!E8</f>
        <v>549.5</v>
      </c>
      <c r="U23">
        <f>E6*'scoring matrix'!F8</f>
        <v>10</v>
      </c>
      <c r="V23">
        <f>F6*'scoring matrix'!G8</f>
        <v>0</v>
      </c>
      <c r="W23">
        <f>G6*'scoring matrix'!H8</f>
        <v>31.5</v>
      </c>
      <c r="X23">
        <f>H6*'scoring matrix'!I8</f>
        <v>0</v>
      </c>
      <c r="Y23">
        <f>I6*'scoring matrix'!J8</f>
        <v>0</v>
      </c>
      <c r="Z23">
        <f>J6*'scoring matrix'!K8</f>
        <v>91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5.5375790557434916</v>
      </c>
      <c r="C24" s="7">
        <f t="shared" si="3"/>
        <v>0.52115266707541386</v>
      </c>
      <c r="D24" s="7">
        <f t="shared" si="3"/>
        <v>1.3666898309010886</v>
      </c>
      <c r="E24" s="7">
        <f t="shared" si="3"/>
        <v>27.311146328578971</v>
      </c>
      <c r="F24" s="7">
        <f t="shared" si="3"/>
        <v>6.435643564356436</v>
      </c>
      <c r="G24" s="7">
        <f t="shared" si="3"/>
        <v>64.195319961795605</v>
      </c>
      <c r="H24" s="7">
        <f t="shared" si="3"/>
        <v>1.2461059190031152</v>
      </c>
      <c r="I24" s="7">
        <f t="shared" si="3"/>
        <v>0</v>
      </c>
      <c r="J24" s="7">
        <f t="shared" si="3"/>
        <v>8.5287846481876333</v>
      </c>
      <c r="K24" s="7">
        <f t="shared" si="3"/>
        <v>4.5602605863192185</v>
      </c>
      <c r="L24" s="7">
        <f t="shared" si="3"/>
        <v>0</v>
      </c>
      <c r="M24" s="7">
        <f t="shared" si="3"/>
        <v>0</v>
      </c>
      <c r="P24" s="2"/>
      <c r="R24">
        <f>B7*'scoring matrix'!C9</f>
        <v>2635.5</v>
      </c>
      <c r="S24">
        <f>C7*'scoring matrix'!D9</f>
        <v>191.25</v>
      </c>
      <c r="T24">
        <f>D7*'scoring matrix'!E9</f>
        <v>3717</v>
      </c>
      <c r="U24">
        <f>E7*'scoring matrix'!F9</f>
        <v>2068</v>
      </c>
      <c r="V24">
        <f>F7*'scoring matrix'!G9</f>
        <v>34.125</v>
      </c>
      <c r="W24">
        <f>G7*'scoring matrix'!H9</f>
        <v>0</v>
      </c>
      <c r="X24">
        <f>H7*'scoring matrix'!I9</f>
        <v>22</v>
      </c>
      <c r="Y24">
        <f>I7*'scoring matrix'!J9</f>
        <v>0</v>
      </c>
      <c r="Z24">
        <f>J7*'scoring matrix'!K9</f>
        <v>150</v>
      </c>
      <c r="AA24">
        <f>K7*'scoring matrix'!L9</f>
        <v>98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0.36770113251948816</v>
      </c>
      <c r="C25" s="7">
        <f t="shared" si="3"/>
        <v>0</v>
      </c>
      <c r="D25" s="7">
        <f t="shared" si="3"/>
        <v>0</v>
      </c>
      <c r="E25" s="7">
        <f t="shared" si="3"/>
        <v>1.2942419440042261</v>
      </c>
      <c r="F25" s="7">
        <f t="shared" si="3"/>
        <v>0</v>
      </c>
      <c r="G25" s="7">
        <f t="shared" si="3"/>
        <v>19.734957020057305</v>
      </c>
      <c r="H25" s="7">
        <f t="shared" si="3"/>
        <v>89.797507788161994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175</v>
      </c>
      <c r="S25">
        <f>C8*'scoring matrix'!D10</f>
        <v>0</v>
      </c>
      <c r="T25">
        <f>D8*'scoring matrix'!E10</f>
        <v>0</v>
      </c>
      <c r="U25">
        <f>E8*'scoring matrix'!F10</f>
        <v>110.25</v>
      </c>
      <c r="V25">
        <f>F8*'scoring matrix'!G10</f>
        <v>0</v>
      </c>
      <c r="W25">
        <f>G8*'scoring matrix'!H10</f>
        <v>2272.875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58658.125</v>
      </c>
    </row>
    <row r="26" spans="1:31" ht="23.25" customHeight="1" x14ac:dyDescent="0.25">
      <c r="A26" s="3" t="s">
        <v>7</v>
      </c>
      <c r="B26" s="7">
        <f t="shared" si="3"/>
        <v>5.8832181203118103E-2</v>
      </c>
      <c r="C26" s="7">
        <f t="shared" si="3"/>
        <v>0</v>
      </c>
      <c r="D26" s="7">
        <f t="shared" si="3"/>
        <v>0.25738038246724837</v>
      </c>
      <c r="E26" s="7">
        <f t="shared" si="3"/>
        <v>0</v>
      </c>
      <c r="F26" s="7">
        <f t="shared" si="3"/>
        <v>13.366336633663368</v>
      </c>
      <c r="G26" s="7">
        <f t="shared" si="3"/>
        <v>2.387774594078319E-2</v>
      </c>
      <c r="H26" s="7">
        <f t="shared" si="3"/>
        <v>0</v>
      </c>
      <c r="I26" s="7">
        <f t="shared" si="3"/>
        <v>98.784913997159535</v>
      </c>
      <c r="J26" s="7">
        <f t="shared" si="3"/>
        <v>0.21321961620469082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32</v>
      </c>
      <c r="S26">
        <f>C9*'scoring matrix'!D11</f>
        <v>0</v>
      </c>
      <c r="T26">
        <f>D9*'scoring matrix'!E11</f>
        <v>800</v>
      </c>
      <c r="U26">
        <f>E9*'scoring matrix'!F11</f>
        <v>0</v>
      </c>
      <c r="V26">
        <f>F9*'scoring matrix'!G11</f>
        <v>101.25</v>
      </c>
      <c r="W26">
        <f>G9*'scoring matrix'!H11</f>
        <v>8</v>
      </c>
      <c r="X26">
        <f>H9*'scoring matrix'!I11</f>
        <v>0</v>
      </c>
      <c r="Y26">
        <f>I9*'scoring matrix'!J11</f>
        <v>0</v>
      </c>
      <c r="Z26">
        <f>J9*'scoring matrix'!K11</f>
        <v>2.75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0.14708045300779526</v>
      </c>
      <c r="C27" s="7">
        <f t="shared" si="3"/>
        <v>3.0656039239730225E-2</v>
      </c>
      <c r="D27" s="7">
        <f t="shared" si="3"/>
        <v>9.0083133863536925E-3</v>
      </c>
      <c r="E27" s="7">
        <f t="shared" si="3"/>
        <v>0</v>
      </c>
      <c r="F27" s="7">
        <f t="shared" si="3"/>
        <v>30.198019801980198</v>
      </c>
      <c r="G27" s="7">
        <f t="shared" si="3"/>
        <v>0.44173829990448904</v>
      </c>
      <c r="H27" s="7">
        <f t="shared" si="3"/>
        <v>0</v>
      </c>
      <c r="I27" s="7">
        <f t="shared" si="3"/>
        <v>1.1835253274420072</v>
      </c>
      <c r="J27" s="7">
        <f t="shared" si="3"/>
        <v>84.008528784648178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80</v>
      </c>
      <c r="S27">
        <f>C10*'scoring matrix'!D12</f>
        <v>12</v>
      </c>
      <c r="T27">
        <f>D10*'scoring matrix'!E12</f>
        <v>28</v>
      </c>
      <c r="U27">
        <f>E10*'scoring matrix'!F12</f>
        <v>0</v>
      </c>
      <c r="V27">
        <f>F10*'scoring matrix'!G12</f>
        <v>198.25</v>
      </c>
      <c r="W27">
        <f>G10*'scoring matrix'!H12</f>
        <v>138.75</v>
      </c>
      <c r="X27">
        <f>H10*'scoring matrix'!I12</f>
        <v>0</v>
      </c>
      <c r="Y27">
        <f>I10*'scoring matrix'!J12</f>
        <v>206.25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0.85306662744521256</v>
      </c>
      <c r="C28" s="7">
        <f t="shared" si="3"/>
        <v>2.0437359493153485E-2</v>
      </c>
      <c r="D28" s="7">
        <f t="shared" si="3"/>
        <v>0.6267212313077497</v>
      </c>
      <c r="E28" s="7">
        <f t="shared" si="3"/>
        <v>0</v>
      </c>
      <c r="F28" s="7">
        <f t="shared" si="3"/>
        <v>0</v>
      </c>
      <c r="G28" s="7">
        <f t="shared" si="3"/>
        <v>0.10744985673352436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53.257328990228018</v>
      </c>
      <c r="L28" s="7">
        <f t="shared" si="3"/>
        <v>0</v>
      </c>
      <c r="M28" s="7">
        <f t="shared" si="3"/>
        <v>0</v>
      </c>
      <c r="R28">
        <f>B11*'scoring matrix'!C13</f>
        <v>290</v>
      </c>
      <c r="S28">
        <f>C11*'scoring matrix'!D13</f>
        <v>6</v>
      </c>
      <c r="T28">
        <f>D11*'scoring matrix'!E13</f>
        <v>1339.25</v>
      </c>
      <c r="U28">
        <f>E11*'scoring matrix'!F13</f>
        <v>0</v>
      </c>
      <c r="V28">
        <f>F11*'scoring matrix'!G13</f>
        <v>0</v>
      </c>
      <c r="W28">
        <f>G11*'scoring matrix'!H13</f>
        <v>31.5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9.5602294455066919E-2</v>
      </c>
      <c r="C29" s="7">
        <f t="shared" si="3"/>
        <v>0.16349887594522788</v>
      </c>
      <c r="D29" s="7">
        <f t="shared" si="3"/>
        <v>4.3754665019432218E-2</v>
      </c>
      <c r="E29" s="7">
        <f t="shared" si="3"/>
        <v>0</v>
      </c>
      <c r="F29" s="7">
        <f t="shared" si="3"/>
        <v>0</v>
      </c>
      <c r="G29" s="7">
        <f t="shared" si="3"/>
        <v>0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75.73221757322176</v>
      </c>
      <c r="M29" s="7">
        <f t="shared" si="3"/>
        <v>0</v>
      </c>
      <c r="R29">
        <f>B12*'scoring matrix'!C14</f>
        <v>50.375</v>
      </c>
      <c r="S29">
        <f>C12*'scoring matrix'!D14</f>
        <v>60</v>
      </c>
      <c r="T29">
        <f>D12*'scoring matrix'!E14</f>
        <v>110.5</v>
      </c>
      <c r="U29">
        <f>E12*'scoring matrix'!F14</f>
        <v>0</v>
      </c>
      <c r="V29">
        <f>F12*'scoring matrix'!G14</f>
        <v>0</v>
      </c>
      <c r="W29">
        <f>G12*'scoring matrix'!H14</f>
        <v>0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269AC-DB4C-4CB2-B43D-60AE0D4980E9}">
  <dimension ref="A2:AE31"/>
  <sheetViews>
    <sheetView workbookViewId="0">
      <selection activeCell="R19" sqref="R19:AE30"/>
    </sheetView>
  </sheetViews>
  <sheetFormatPr defaultRowHeight="15" x14ac:dyDescent="0.25"/>
  <cols>
    <col min="1" max="1" width="24.28515625" customWidth="1"/>
    <col min="2" max="2" width="9" customWidth="1"/>
    <col min="3" max="13" width="9" style="1" customWidth="1"/>
    <col min="14" max="14" width="18.140625" style="1" customWidth="1"/>
    <col min="19" max="19" width="9.5703125" bestFit="1" customWidth="1"/>
  </cols>
  <sheetData>
    <row r="2" spans="2:29" x14ac:dyDescent="0.25">
      <c r="B2" s="7">
        <v>11181</v>
      </c>
      <c r="C2" s="7">
        <v>1305</v>
      </c>
      <c r="D2" s="7">
        <v>1116</v>
      </c>
      <c r="E2" s="7">
        <v>211</v>
      </c>
      <c r="F2" s="7">
        <v>0</v>
      </c>
      <c r="G2" s="7">
        <v>232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O2" s="8">
        <f>SUM(B2:M13)</f>
        <v>122397</v>
      </c>
      <c r="R2" s="7">
        <f>B2/$O$2*100</f>
        <v>9.1350278193092969</v>
      </c>
      <c r="S2" s="7">
        <f t="shared" ref="S2:AC13" si="0">C2/$O$2*100</f>
        <v>1.0662026030049756</v>
      </c>
      <c r="T2" s="7">
        <f t="shared" si="0"/>
        <v>0.91178705360425505</v>
      </c>
      <c r="U2" s="7">
        <f t="shared" si="0"/>
        <v>0.17238984615636005</v>
      </c>
      <c r="V2" s="7">
        <f t="shared" si="0"/>
        <v>0</v>
      </c>
      <c r="W2" s="7">
        <f t="shared" si="0"/>
        <v>0.18954712942310678</v>
      </c>
      <c r="X2" s="7">
        <f t="shared" si="0"/>
        <v>0</v>
      </c>
      <c r="Y2" s="7">
        <f t="shared" si="0"/>
        <v>0</v>
      </c>
      <c r="Z2" s="7">
        <f t="shared" si="0"/>
        <v>0</v>
      </c>
      <c r="AA2" s="7">
        <f t="shared" si="0"/>
        <v>0</v>
      </c>
      <c r="AB2" s="7">
        <f t="shared" si="0"/>
        <v>0</v>
      </c>
      <c r="AC2" s="7">
        <f t="shared" si="0"/>
        <v>0</v>
      </c>
    </row>
    <row r="3" spans="2:29" x14ac:dyDescent="0.25">
      <c r="B3" s="7">
        <v>1814</v>
      </c>
      <c r="C3" s="7">
        <v>3532</v>
      </c>
      <c r="D3" s="7">
        <v>6599</v>
      </c>
      <c r="E3" s="7">
        <v>170</v>
      </c>
      <c r="F3" s="7">
        <v>0</v>
      </c>
      <c r="G3" s="7">
        <v>25</v>
      </c>
      <c r="H3" s="7">
        <v>0</v>
      </c>
      <c r="I3" s="7">
        <v>0</v>
      </c>
      <c r="J3" s="7">
        <v>0</v>
      </c>
      <c r="K3" s="7">
        <v>133</v>
      </c>
      <c r="L3" s="7">
        <v>10</v>
      </c>
      <c r="M3" s="7">
        <v>0</v>
      </c>
      <c r="R3" s="7">
        <f t="shared" ref="R3:R13" si="1">B3/$O$2*100</f>
        <v>1.4820624688513606</v>
      </c>
      <c r="S3" s="7">
        <f t="shared" si="0"/>
        <v>2.885691642769022</v>
      </c>
      <c r="T3" s="7">
        <f t="shared" si="0"/>
        <v>5.3914720132029377</v>
      </c>
      <c r="U3" s="7">
        <f t="shared" si="0"/>
        <v>0.13889229311175927</v>
      </c>
      <c r="V3" s="7">
        <f t="shared" si="0"/>
        <v>0</v>
      </c>
      <c r="W3" s="7">
        <f t="shared" si="0"/>
        <v>2.0425337222317541E-2</v>
      </c>
      <c r="X3" s="7">
        <f t="shared" si="0"/>
        <v>0</v>
      </c>
      <c r="Y3" s="7">
        <f t="shared" si="0"/>
        <v>0</v>
      </c>
      <c r="Z3" s="7">
        <f t="shared" si="0"/>
        <v>0</v>
      </c>
      <c r="AA3" s="7">
        <f t="shared" si="0"/>
        <v>0.10866279402272931</v>
      </c>
      <c r="AB3" s="7">
        <f t="shared" si="0"/>
        <v>8.1701348889270161E-3</v>
      </c>
      <c r="AC3" s="7">
        <f t="shared" si="0"/>
        <v>0</v>
      </c>
    </row>
    <row r="4" spans="2:29" x14ac:dyDescent="0.25">
      <c r="B4" s="7">
        <v>516</v>
      </c>
      <c r="C4" s="7">
        <v>900</v>
      </c>
      <c r="D4" s="7">
        <v>68604</v>
      </c>
      <c r="E4" s="7">
        <v>1261</v>
      </c>
      <c r="F4" s="7">
        <v>0</v>
      </c>
      <c r="G4" s="7">
        <v>235</v>
      </c>
      <c r="H4" s="7">
        <v>30</v>
      </c>
      <c r="I4" s="7">
        <v>14</v>
      </c>
      <c r="J4" s="7">
        <v>9</v>
      </c>
      <c r="K4" s="7">
        <v>234</v>
      </c>
      <c r="L4" s="7">
        <v>24</v>
      </c>
      <c r="M4" s="7">
        <v>0</v>
      </c>
      <c r="R4" s="7">
        <f t="shared" si="1"/>
        <v>0.42157896026863401</v>
      </c>
      <c r="S4" s="7">
        <f t="shared" si="0"/>
        <v>0.73531214000343148</v>
      </c>
      <c r="T4" s="7">
        <f>D4/$O$2*100</f>
        <v>56.050393391994902</v>
      </c>
      <c r="U4" s="7">
        <f t="shared" si="0"/>
        <v>1.0302540094936967</v>
      </c>
      <c r="V4" s="7">
        <f t="shared" si="0"/>
        <v>0</v>
      </c>
      <c r="W4" s="7">
        <f t="shared" si="0"/>
        <v>0.19199816988978488</v>
      </c>
      <c r="X4" s="7">
        <f t="shared" si="0"/>
        <v>2.4510404666781047E-2</v>
      </c>
      <c r="Y4" s="7">
        <f t="shared" si="0"/>
        <v>1.1438188844497823E-2</v>
      </c>
      <c r="Z4" s="7">
        <f t="shared" si="0"/>
        <v>7.3531214000343145E-3</v>
      </c>
      <c r="AA4" s="7">
        <f t="shared" si="0"/>
        <v>0.19118115640089217</v>
      </c>
      <c r="AB4" s="7">
        <f t="shared" si="0"/>
        <v>1.9608323733424839E-2</v>
      </c>
      <c r="AC4" s="7">
        <f t="shared" si="0"/>
        <v>0</v>
      </c>
    </row>
    <row r="5" spans="2:29" x14ac:dyDescent="0.25">
      <c r="B5" s="7">
        <v>17</v>
      </c>
      <c r="C5" s="7">
        <v>490</v>
      </c>
      <c r="D5" s="7">
        <v>1629</v>
      </c>
      <c r="E5" s="7">
        <v>1175</v>
      </c>
      <c r="F5" s="7">
        <v>0</v>
      </c>
      <c r="G5" s="7">
        <v>1020</v>
      </c>
      <c r="H5" s="7">
        <v>65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R5" s="7">
        <f t="shared" si="1"/>
        <v>1.3889229311175928E-2</v>
      </c>
      <c r="S5" s="7">
        <f t="shared" si="0"/>
        <v>0.40033660955742384</v>
      </c>
      <c r="T5" s="7">
        <f t="shared" si="0"/>
        <v>1.3309149734062109</v>
      </c>
      <c r="U5" s="7">
        <f t="shared" si="0"/>
        <v>0.95999084944892432</v>
      </c>
      <c r="V5" s="7">
        <f t="shared" si="0"/>
        <v>0</v>
      </c>
      <c r="W5" s="7">
        <f t="shared" si="0"/>
        <v>0.83335375867055561</v>
      </c>
      <c r="X5" s="7">
        <f t="shared" si="0"/>
        <v>5.3105876778025612E-2</v>
      </c>
      <c r="Y5" s="7">
        <f t="shared" si="0"/>
        <v>0</v>
      </c>
      <c r="Z5" s="7">
        <f t="shared" si="0"/>
        <v>0</v>
      </c>
      <c r="AA5" s="7">
        <f t="shared" si="0"/>
        <v>0</v>
      </c>
      <c r="AB5" s="7">
        <f t="shared" si="0"/>
        <v>0</v>
      </c>
      <c r="AC5" s="7">
        <f t="shared" si="0"/>
        <v>0</v>
      </c>
    </row>
    <row r="6" spans="2:29" x14ac:dyDescent="0.25">
      <c r="B6" s="7">
        <v>5</v>
      </c>
      <c r="C6" s="7">
        <v>0</v>
      </c>
      <c r="D6" s="7">
        <v>153</v>
      </c>
      <c r="E6" s="7">
        <v>1</v>
      </c>
      <c r="F6" s="7">
        <v>1</v>
      </c>
      <c r="G6" s="7">
        <v>9</v>
      </c>
      <c r="H6" s="7">
        <v>0</v>
      </c>
      <c r="I6" s="7">
        <v>2</v>
      </c>
      <c r="J6" s="7">
        <v>116</v>
      </c>
      <c r="K6" s="7">
        <v>0</v>
      </c>
      <c r="L6" s="7">
        <v>0</v>
      </c>
      <c r="M6" s="7">
        <v>0</v>
      </c>
      <c r="R6" s="7">
        <f t="shared" si="1"/>
        <v>4.0850674444635081E-3</v>
      </c>
      <c r="S6" s="7">
        <f t="shared" si="0"/>
        <v>0</v>
      </c>
      <c r="T6" s="7">
        <f t="shared" si="0"/>
        <v>0.12500306380058335</v>
      </c>
      <c r="U6" s="7">
        <f t="shared" si="0"/>
        <v>8.1701348889270172E-4</v>
      </c>
      <c r="V6" s="7">
        <f t="shared" si="0"/>
        <v>8.1701348889270172E-4</v>
      </c>
      <c r="W6" s="7">
        <f t="shared" si="0"/>
        <v>7.3531214000343145E-3</v>
      </c>
      <c r="X6" s="7">
        <f t="shared" si="0"/>
        <v>0</v>
      </c>
      <c r="Y6" s="7">
        <f t="shared" si="0"/>
        <v>1.6340269777854034E-3</v>
      </c>
      <c r="Z6" s="7">
        <f t="shared" si="0"/>
        <v>9.477356471155339E-2</v>
      </c>
      <c r="AA6" s="7">
        <f t="shared" si="0"/>
        <v>0</v>
      </c>
      <c r="AB6" s="7">
        <f t="shared" si="0"/>
        <v>0</v>
      </c>
      <c r="AC6" s="7">
        <f t="shared" si="0"/>
        <v>0</v>
      </c>
    </row>
    <row r="7" spans="2:29" x14ac:dyDescent="0.25">
      <c r="B7" s="7">
        <v>581</v>
      </c>
      <c r="C7" s="7">
        <v>122</v>
      </c>
      <c r="D7" s="7">
        <v>1086</v>
      </c>
      <c r="E7" s="7">
        <v>1004</v>
      </c>
      <c r="F7" s="7">
        <v>2</v>
      </c>
      <c r="G7" s="7">
        <v>5315</v>
      </c>
      <c r="H7" s="7">
        <v>199</v>
      </c>
      <c r="I7" s="7">
        <v>0</v>
      </c>
      <c r="J7" s="7">
        <v>28</v>
      </c>
      <c r="K7" s="7">
        <v>37</v>
      </c>
      <c r="L7" s="7">
        <v>0</v>
      </c>
      <c r="M7" s="7">
        <v>0</v>
      </c>
      <c r="R7" s="7">
        <f t="shared" si="1"/>
        <v>0.47468483704665965</v>
      </c>
      <c r="S7" s="7">
        <f t="shared" si="0"/>
        <v>9.9675645644909591E-2</v>
      </c>
      <c r="T7" s="7">
        <f t="shared" si="0"/>
        <v>0.88727664893747393</v>
      </c>
      <c r="U7" s="7">
        <f t="shared" si="0"/>
        <v>0.82028154284827237</v>
      </c>
      <c r="V7" s="7">
        <f t="shared" si="0"/>
        <v>1.6340269777854034E-3</v>
      </c>
      <c r="W7" s="7">
        <f t="shared" si="0"/>
        <v>4.3424266934647093</v>
      </c>
      <c r="X7" s="7">
        <f t="shared" si="0"/>
        <v>0.16258568428964762</v>
      </c>
      <c r="Y7" s="7">
        <f t="shared" si="0"/>
        <v>0</v>
      </c>
      <c r="Z7" s="7">
        <f t="shared" si="0"/>
        <v>2.2876377688995645E-2</v>
      </c>
      <c r="AA7" s="7">
        <f t="shared" si="0"/>
        <v>3.022949908902996E-2</v>
      </c>
      <c r="AB7" s="7">
        <f t="shared" si="0"/>
        <v>0</v>
      </c>
      <c r="AC7" s="7">
        <f t="shared" si="0"/>
        <v>0</v>
      </c>
    </row>
    <row r="8" spans="2:29" x14ac:dyDescent="0.25">
      <c r="B8" s="7">
        <v>77</v>
      </c>
      <c r="C8" s="7">
        <v>0</v>
      </c>
      <c r="D8" s="7">
        <v>1</v>
      </c>
      <c r="E8" s="7">
        <v>6</v>
      </c>
      <c r="F8" s="7">
        <v>0</v>
      </c>
      <c r="G8" s="7">
        <v>1843</v>
      </c>
      <c r="H8" s="7">
        <v>978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R8" s="7">
        <f t="shared" si="1"/>
        <v>6.2910038644738028E-2</v>
      </c>
      <c r="S8" s="7">
        <f t="shared" si="0"/>
        <v>0</v>
      </c>
      <c r="T8" s="7">
        <f t="shared" si="0"/>
        <v>8.1701348889270172E-4</v>
      </c>
      <c r="U8" s="7">
        <f t="shared" si="0"/>
        <v>4.9020809333562097E-3</v>
      </c>
      <c r="V8" s="7">
        <f t="shared" si="0"/>
        <v>0</v>
      </c>
      <c r="W8" s="7">
        <f t="shared" si="0"/>
        <v>1.5057558600292491</v>
      </c>
      <c r="X8" s="7">
        <f t="shared" si="0"/>
        <v>0.7990391921370622</v>
      </c>
      <c r="Y8" s="7">
        <f t="shared" si="0"/>
        <v>0</v>
      </c>
      <c r="Z8" s="7">
        <f t="shared" si="0"/>
        <v>0</v>
      </c>
      <c r="AA8" s="7">
        <f t="shared" si="0"/>
        <v>0</v>
      </c>
      <c r="AB8" s="7">
        <f t="shared" si="0"/>
        <v>0</v>
      </c>
      <c r="AC8" s="7">
        <f t="shared" si="0"/>
        <v>0</v>
      </c>
    </row>
    <row r="9" spans="2:29" x14ac:dyDescent="0.25">
      <c r="B9" s="7">
        <v>0</v>
      </c>
      <c r="C9" s="7">
        <v>0</v>
      </c>
      <c r="D9" s="7">
        <v>21</v>
      </c>
      <c r="E9" s="7">
        <v>0</v>
      </c>
      <c r="F9" s="7">
        <v>5</v>
      </c>
      <c r="G9" s="7">
        <v>7</v>
      </c>
      <c r="H9" s="7">
        <v>0</v>
      </c>
      <c r="I9" s="7">
        <v>6459</v>
      </c>
      <c r="J9" s="7">
        <v>6</v>
      </c>
      <c r="K9" s="7">
        <v>0</v>
      </c>
      <c r="L9" s="7">
        <v>0</v>
      </c>
      <c r="M9" s="7">
        <v>0</v>
      </c>
      <c r="R9" s="7">
        <f t="shared" si="1"/>
        <v>0</v>
      </c>
      <c r="S9" s="7">
        <f t="shared" si="0"/>
        <v>0</v>
      </c>
      <c r="T9" s="7">
        <f t="shared" si="0"/>
        <v>1.7157283266746731E-2</v>
      </c>
      <c r="U9" s="7">
        <f t="shared" si="0"/>
        <v>0</v>
      </c>
      <c r="V9" s="7">
        <f t="shared" si="0"/>
        <v>4.0850674444635081E-3</v>
      </c>
      <c r="W9" s="7">
        <f t="shared" si="0"/>
        <v>5.7190944222489113E-3</v>
      </c>
      <c r="X9" s="7">
        <f t="shared" si="0"/>
        <v>0</v>
      </c>
      <c r="Y9" s="7">
        <f t="shared" si="0"/>
        <v>5.2770901247579598</v>
      </c>
      <c r="Z9" s="7">
        <f t="shared" si="0"/>
        <v>4.9020809333562097E-3</v>
      </c>
      <c r="AA9" s="7">
        <f t="shared" si="0"/>
        <v>0</v>
      </c>
      <c r="AB9" s="7">
        <f t="shared" si="0"/>
        <v>0</v>
      </c>
      <c r="AC9" s="7">
        <f t="shared" si="0"/>
        <v>0</v>
      </c>
    </row>
    <row r="10" spans="2:29" x14ac:dyDescent="0.25">
      <c r="B10" s="7">
        <v>18</v>
      </c>
      <c r="C10" s="7">
        <v>0</v>
      </c>
      <c r="D10" s="7">
        <v>7</v>
      </c>
      <c r="E10" s="7">
        <v>0</v>
      </c>
      <c r="F10" s="7">
        <v>10</v>
      </c>
      <c r="G10" s="7">
        <v>36</v>
      </c>
      <c r="H10" s="7">
        <v>0</v>
      </c>
      <c r="I10" s="7">
        <v>59</v>
      </c>
      <c r="J10" s="7">
        <v>467</v>
      </c>
      <c r="K10" s="7">
        <v>0</v>
      </c>
      <c r="L10" s="7">
        <v>0</v>
      </c>
      <c r="M10" s="7">
        <v>0</v>
      </c>
      <c r="R10" s="7">
        <f t="shared" si="1"/>
        <v>1.4706242800068629E-2</v>
      </c>
      <c r="S10" s="7">
        <f t="shared" si="0"/>
        <v>0</v>
      </c>
      <c r="T10" s="7">
        <f t="shared" si="0"/>
        <v>5.7190944222489113E-3</v>
      </c>
      <c r="U10" s="7">
        <f t="shared" si="0"/>
        <v>0</v>
      </c>
      <c r="V10" s="7">
        <f t="shared" si="0"/>
        <v>8.1701348889270161E-3</v>
      </c>
      <c r="W10" s="7">
        <f t="shared" si="0"/>
        <v>2.9412485600137258E-2</v>
      </c>
      <c r="X10" s="7">
        <f t="shared" si="0"/>
        <v>0</v>
      </c>
      <c r="Y10" s="7">
        <f t="shared" si="0"/>
        <v>4.8203795844669398E-2</v>
      </c>
      <c r="Z10" s="7">
        <f t="shared" si="0"/>
        <v>0.38154529931289166</v>
      </c>
      <c r="AA10" s="7">
        <f t="shared" si="0"/>
        <v>0</v>
      </c>
      <c r="AB10" s="7">
        <f t="shared" si="0"/>
        <v>0</v>
      </c>
      <c r="AC10" s="7">
        <f t="shared" si="0"/>
        <v>0</v>
      </c>
    </row>
    <row r="11" spans="2:29" x14ac:dyDescent="0.25">
      <c r="B11" s="7">
        <v>1</v>
      </c>
      <c r="C11" s="7">
        <v>0</v>
      </c>
      <c r="D11" s="7">
        <v>220</v>
      </c>
      <c r="E11" s="7">
        <v>0</v>
      </c>
      <c r="F11" s="7">
        <v>0</v>
      </c>
      <c r="G11" s="7">
        <v>9</v>
      </c>
      <c r="H11" s="7">
        <v>0</v>
      </c>
      <c r="I11" s="7">
        <v>0</v>
      </c>
      <c r="J11" s="7">
        <v>0</v>
      </c>
      <c r="K11" s="7">
        <v>711</v>
      </c>
      <c r="L11" s="7">
        <v>0</v>
      </c>
      <c r="M11" s="7">
        <v>0</v>
      </c>
      <c r="R11" s="7">
        <f t="shared" si="1"/>
        <v>8.1701348889270172E-4</v>
      </c>
      <c r="S11" s="7">
        <f t="shared" si="0"/>
        <v>0</v>
      </c>
      <c r="T11" s="7">
        <f t="shared" si="0"/>
        <v>0.17974296755639435</v>
      </c>
      <c r="U11" s="7">
        <f t="shared" si="0"/>
        <v>0</v>
      </c>
      <c r="V11" s="7">
        <f t="shared" si="0"/>
        <v>0</v>
      </c>
      <c r="W11" s="7">
        <f t="shared" si="0"/>
        <v>7.3531214000343145E-3</v>
      </c>
      <c r="X11" s="7">
        <f t="shared" si="0"/>
        <v>0</v>
      </c>
      <c r="Y11" s="7">
        <f t="shared" si="0"/>
        <v>0</v>
      </c>
      <c r="Z11" s="7">
        <f t="shared" si="0"/>
        <v>0</v>
      </c>
      <c r="AA11" s="7">
        <f t="shared" si="0"/>
        <v>0.58089659060271082</v>
      </c>
      <c r="AB11" s="7">
        <f t="shared" si="0"/>
        <v>0</v>
      </c>
      <c r="AC11" s="7">
        <f t="shared" si="0"/>
        <v>0</v>
      </c>
    </row>
    <row r="12" spans="2:29" x14ac:dyDescent="0.25">
      <c r="B12" s="7">
        <v>31</v>
      </c>
      <c r="C12" s="7">
        <v>19</v>
      </c>
      <c r="D12" s="7">
        <v>52</v>
      </c>
      <c r="E12" s="7">
        <v>0</v>
      </c>
      <c r="F12" s="7">
        <v>0</v>
      </c>
      <c r="G12" s="7">
        <v>2</v>
      </c>
      <c r="H12" s="7">
        <v>0</v>
      </c>
      <c r="I12" s="7">
        <v>0</v>
      </c>
      <c r="J12" s="7">
        <v>0</v>
      </c>
      <c r="K12" s="7">
        <v>0</v>
      </c>
      <c r="L12" s="7">
        <v>140</v>
      </c>
      <c r="M12" s="7">
        <v>0</v>
      </c>
      <c r="R12" s="7">
        <f t="shared" si="1"/>
        <v>2.5327418155673753E-2</v>
      </c>
      <c r="S12" s="7">
        <f t="shared" si="0"/>
        <v>1.552325628896133E-2</v>
      </c>
      <c r="T12" s="7">
        <f t="shared" si="0"/>
        <v>4.248470142242048E-2</v>
      </c>
      <c r="U12" s="7">
        <f t="shared" si="0"/>
        <v>0</v>
      </c>
      <c r="V12" s="7">
        <f t="shared" si="0"/>
        <v>0</v>
      </c>
      <c r="W12" s="7">
        <f t="shared" si="0"/>
        <v>1.6340269777854034E-3</v>
      </c>
      <c r="X12" s="7">
        <f t="shared" si="0"/>
        <v>0</v>
      </c>
      <c r="Y12" s="7">
        <f t="shared" si="0"/>
        <v>0</v>
      </c>
      <c r="Z12" s="7">
        <f t="shared" si="0"/>
        <v>0</v>
      </c>
      <c r="AA12" s="7">
        <f t="shared" si="0"/>
        <v>0</v>
      </c>
      <c r="AB12" s="7">
        <f t="shared" si="0"/>
        <v>0.11438188844497824</v>
      </c>
      <c r="AC12" s="7">
        <f t="shared" si="0"/>
        <v>0</v>
      </c>
    </row>
    <row r="13" spans="2:29" x14ac:dyDescent="0.25"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R13" s="7">
        <f t="shared" si="1"/>
        <v>0</v>
      </c>
      <c r="S13" s="7">
        <f t="shared" si="0"/>
        <v>0</v>
      </c>
      <c r="T13" s="7">
        <f t="shared" si="0"/>
        <v>0</v>
      </c>
      <c r="U13" s="7">
        <f t="shared" si="0"/>
        <v>0</v>
      </c>
      <c r="V13" s="7">
        <f t="shared" si="0"/>
        <v>0</v>
      </c>
      <c r="W13" s="7">
        <f t="shared" si="0"/>
        <v>0</v>
      </c>
      <c r="X13" s="7">
        <f t="shared" si="0"/>
        <v>0</v>
      </c>
      <c r="Y13" s="7">
        <f t="shared" si="0"/>
        <v>0</v>
      </c>
      <c r="Z13" s="7">
        <f t="shared" si="0"/>
        <v>0</v>
      </c>
      <c r="AA13" s="7">
        <f t="shared" si="0"/>
        <v>0</v>
      </c>
      <c r="AB13" s="7">
        <f t="shared" si="0"/>
        <v>0</v>
      </c>
      <c r="AC13" s="7">
        <f t="shared" si="0"/>
        <v>0</v>
      </c>
    </row>
    <row r="18" spans="1:31" ht="96" customHeight="1" x14ac:dyDescent="0.25">
      <c r="A18" t="s">
        <v>25</v>
      </c>
      <c r="B18" s="5" t="s">
        <v>13</v>
      </c>
      <c r="C18" s="6" t="s">
        <v>14</v>
      </c>
      <c r="D18" s="6" t="s">
        <v>15</v>
      </c>
      <c r="E18" s="6" t="s">
        <v>16</v>
      </c>
      <c r="F18" s="6" t="s">
        <v>17</v>
      </c>
      <c r="G18" s="6" t="s">
        <v>18</v>
      </c>
      <c r="H18" s="6" t="s">
        <v>19</v>
      </c>
      <c r="I18" s="6" t="s">
        <v>20</v>
      </c>
      <c r="J18" s="6" t="s">
        <v>21</v>
      </c>
      <c r="K18" s="6" t="s">
        <v>22</v>
      </c>
      <c r="L18" s="6" t="s">
        <v>23</v>
      </c>
      <c r="M18" s="6" t="s">
        <v>24</v>
      </c>
    </row>
    <row r="19" spans="1:31" ht="23.25" customHeight="1" x14ac:dyDescent="0.25">
      <c r="A19" s="3" t="s">
        <v>1</v>
      </c>
      <c r="B19" s="7">
        <f>IFERROR(B2/SUM(B$2:B$13)*100,0)</f>
        <v>78.512744891510437</v>
      </c>
      <c r="C19" s="7">
        <f t="shared" ref="C19:M19" si="2">IFERROR(C2/SUM(C$2:C$13)*100,0)</f>
        <v>20.493090452261306</v>
      </c>
      <c r="D19" s="7">
        <f t="shared" si="2"/>
        <v>1.4039855072463767</v>
      </c>
      <c r="E19" s="7">
        <f t="shared" si="2"/>
        <v>5.5120167189132712</v>
      </c>
      <c r="F19" s="7">
        <f t="shared" si="2"/>
        <v>0</v>
      </c>
      <c r="G19" s="7">
        <f t="shared" si="2"/>
        <v>2.656589946181152</v>
      </c>
      <c r="H19" s="7">
        <f t="shared" si="2"/>
        <v>0</v>
      </c>
      <c r="I19" s="7">
        <f t="shared" si="2"/>
        <v>0</v>
      </c>
      <c r="J19" s="7">
        <f t="shared" si="2"/>
        <v>0</v>
      </c>
      <c r="K19" s="7">
        <f t="shared" si="2"/>
        <v>0</v>
      </c>
      <c r="L19" s="7">
        <f t="shared" si="2"/>
        <v>0</v>
      </c>
      <c r="M19" s="7">
        <f t="shared" si="2"/>
        <v>0</v>
      </c>
      <c r="R19">
        <f>B2*'scoring matrix'!C4</f>
        <v>0</v>
      </c>
      <c r="S19">
        <f>C2*'scoring matrix'!D4</f>
        <v>2610</v>
      </c>
      <c r="T19">
        <f>D2*'scoring matrix'!E4</f>
        <v>3906</v>
      </c>
      <c r="U19">
        <f>E2*'scoring matrix'!F4</f>
        <v>633</v>
      </c>
      <c r="V19">
        <f>F2*'scoring matrix'!G4</f>
        <v>0</v>
      </c>
      <c r="W19">
        <f>G2*'scoring matrix'!H4</f>
        <v>812</v>
      </c>
      <c r="X19">
        <f>H2*'scoring matrix'!I4</f>
        <v>0</v>
      </c>
      <c r="Y19">
        <f>I2*'scoring matrix'!J4</f>
        <v>0</v>
      </c>
      <c r="Z19">
        <f>J2*'scoring matrix'!K4</f>
        <v>0</v>
      </c>
      <c r="AA19">
        <f>K2*'scoring matrix'!L4</f>
        <v>0</v>
      </c>
      <c r="AB19">
        <f>L2*'scoring matrix'!M4</f>
        <v>0</v>
      </c>
      <c r="AC19">
        <f>M2*'scoring matrix'!N4</f>
        <v>0</v>
      </c>
    </row>
    <row r="20" spans="1:31" ht="23.25" customHeight="1" x14ac:dyDescent="0.25">
      <c r="A20" s="4" t="s">
        <v>2</v>
      </c>
      <c r="B20" s="7">
        <f t="shared" ref="B20:M30" si="3">IFERROR(B3/SUM(B$2:B$13)*100,0)</f>
        <v>12.737869531634013</v>
      </c>
      <c r="C20" s="7">
        <f t="shared" si="3"/>
        <v>55.464824120603019</v>
      </c>
      <c r="D20" s="7">
        <f t="shared" si="3"/>
        <v>8.3018820450885666</v>
      </c>
      <c r="E20" s="7">
        <f t="shared" si="3"/>
        <v>4.4409613375130617</v>
      </c>
      <c r="F20" s="7">
        <f t="shared" si="3"/>
        <v>0</v>
      </c>
      <c r="G20" s="7">
        <f t="shared" si="3"/>
        <v>0.28627046833848618</v>
      </c>
      <c r="H20" s="7">
        <f t="shared" si="3"/>
        <v>0</v>
      </c>
      <c r="I20" s="7">
        <f t="shared" si="3"/>
        <v>0</v>
      </c>
      <c r="J20" s="7">
        <f t="shared" si="3"/>
        <v>0</v>
      </c>
      <c r="K20" s="7">
        <f t="shared" si="3"/>
        <v>11.928251121076233</v>
      </c>
      <c r="L20" s="7">
        <f t="shared" si="3"/>
        <v>5.7471264367816088</v>
      </c>
      <c r="M20" s="7">
        <f t="shared" si="3"/>
        <v>0</v>
      </c>
      <c r="R20">
        <f>B3*'scoring matrix'!C5</f>
        <v>3628</v>
      </c>
      <c r="S20">
        <f>C3*'scoring matrix'!D5</f>
        <v>0</v>
      </c>
      <c r="T20">
        <f>D3*'scoring matrix'!E5</f>
        <v>15672.625</v>
      </c>
      <c r="U20">
        <f>E3*'scoring matrix'!F5</f>
        <v>467.5</v>
      </c>
      <c r="V20">
        <f>F3*'scoring matrix'!G5</f>
        <v>0</v>
      </c>
      <c r="W20">
        <f>G3*'scoring matrix'!H5</f>
        <v>93.75</v>
      </c>
      <c r="X20">
        <f>H3*'scoring matrix'!I5</f>
        <v>0</v>
      </c>
      <c r="Y20">
        <f>I3*'scoring matrix'!J5</f>
        <v>0</v>
      </c>
      <c r="Z20">
        <f>J3*'scoring matrix'!K5</f>
        <v>0</v>
      </c>
      <c r="AA20">
        <f>K3*'scoring matrix'!L5</f>
        <v>399</v>
      </c>
      <c r="AB20">
        <f>L3*'scoring matrix'!M5</f>
        <v>37.5</v>
      </c>
      <c r="AC20">
        <f>M3*'scoring matrix'!N5</f>
        <v>0</v>
      </c>
    </row>
    <row r="21" spans="1:31" ht="23.25" customHeight="1" x14ac:dyDescent="0.25">
      <c r="A21" s="3" t="s">
        <v>3</v>
      </c>
      <c r="B21" s="7">
        <f t="shared" si="3"/>
        <v>3.6233410575100065</v>
      </c>
      <c r="C21" s="7">
        <f t="shared" si="3"/>
        <v>14.133165829145728</v>
      </c>
      <c r="D21" s="7">
        <f t="shared" si="3"/>
        <v>86.307367149758448</v>
      </c>
      <c r="E21" s="7">
        <f t="shared" si="3"/>
        <v>32.941483803552771</v>
      </c>
      <c r="F21" s="7">
        <f t="shared" si="3"/>
        <v>0</v>
      </c>
      <c r="G21" s="7">
        <f t="shared" si="3"/>
        <v>2.6909424023817703</v>
      </c>
      <c r="H21" s="7">
        <f t="shared" si="3"/>
        <v>2.358490566037736</v>
      </c>
      <c r="I21" s="7">
        <f t="shared" si="3"/>
        <v>0.21426385062748698</v>
      </c>
      <c r="J21" s="7">
        <f t="shared" si="3"/>
        <v>1.4376996805111821</v>
      </c>
      <c r="K21" s="7">
        <f t="shared" si="3"/>
        <v>20.986547085201792</v>
      </c>
      <c r="L21" s="7">
        <f t="shared" si="3"/>
        <v>13.793103448275861</v>
      </c>
      <c r="M21" s="7">
        <f t="shared" si="3"/>
        <v>0</v>
      </c>
      <c r="R21">
        <f>B4*'scoring matrix'!C6</f>
        <v>1806</v>
      </c>
      <c r="S21">
        <f>C4*'scoring matrix'!D6</f>
        <v>2137.5</v>
      </c>
      <c r="T21">
        <f>D4*'scoring matrix'!E6</f>
        <v>0</v>
      </c>
      <c r="U21">
        <f>E4*'scoring matrix'!F6</f>
        <v>2522</v>
      </c>
      <c r="V21">
        <f>F4*'scoring matrix'!G6</f>
        <v>0</v>
      </c>
      <c r="W21">
        <f>G4*'scoring matrix'!H6</f>
        <v>822.5</v>
      </c>
      <c r="X21">
        <f>H4*'scoring matrix'!I6</f>
        <v>112.5</v>
      </c>
      <c r="Y21">
        <f>I4*'scoring matrix'!J6</f>
        <v>56</v>
      </c>
      <c r="Z21">
        <f>J4*'scoring matrix'!K6</f>
        <v>36</v>
      </c>
      <c r="AA21">
        <f>K4*'scoring matrix'!L6</f>
        <v>643.5</v>
      </c>
      <c r="AB21">
        <f>L4*'scoring matrix'!M6</f>
        <v>78</v>
      </c>
      <c r="AC21">
        <f>M4*'scoring matrix'!N6</f>
        <v>0</v>
      </c>
    </row>
    <row r="22" spans="1:31" ht="23.25" customHeight="1" x14ac:dyDescent="0.25">
      <c r="A22" s="3" t="s">
        <v>11</v>
      </c>
      <c r="B22" s="7">
        <f t="shared" si="3"/>
        <v>0.11937363949160874</v>
      </c>
      <c r="C22" s="7">
        <f t="shared" si="3"/>
        <v>7.6947236180904515</v>
      </c>
      <c r="D22" s="7">
        <f t="shared" si="3"/>
        <v>2.0493659420289854</v>
      </c>
      <c r="E22" s="7">
        <f t="shared" si="3"/>
        <v>30.694879832810866</v>
      </c>
      <c r="F22" s="7">
        <f t="shared" si="3"/>
        <v>0</v>
      </c>
      <c r="G22" s="7">
        <f t="shared" si="3"/>
        <v>11.679835108210238</v>
      </c>
      <c r="H22" s="7">
        <f t="shared" si="3"/>
        <v>5.1100628930817615</v>
      </c>
      <c r="I22" s="7">
        <f t="shared" si="3"/>
        <v>0</v>
      </c>
      <c r="J22" s="7">
        <f t="shared" si="3"/>
        <v>0</v>
      </c>
      <c r="K22" s="7">
        <f t="shared" si="3"/>
        <v>0</v>
      </c>
      <c r="L22" s="7">
        <f t="shared" si="3"/>
        <v>0</v>
      </c>
      <c r="M22" s="7">
        <f t="shared" si="3"/>
        <v>0</v>
      </c>
      <c r="R22">
        <f>B5*'scoring matrix'!C7</f>
        <v>51</v>
      </c>
      <c r="S22">
        <f>C5*'scoring matrix'!D7</f>
        <v>1347.5</v>
      </c>
      <c r="T22">
        <f>D5*'scoring matrix'!E7</f>
        <v>3258</v>
      </c>
      <c r="U22">
        <f>E5*'scoring matrix'!F7</f>
        <v>0</v>
      </c>
      <c r="V22">
        <f>F5*'scoring matrix'!G7</f>
        <v>0</v>
      </c>
      <c r="W22">
        <f>G5*'scoring matrix'!H7</f>
        <v>2040</v>
      </c>
      <c r="X22">
        <f>H5*'scoring matrix'!I7</f>
        <v>146.25</v>
      </c>
      <c r="Y22">
        <f>I5*'scoring matrix'!J7</f>
        <v>0</v>
      </c>
      <c r="Z22">
        <f>J5*'scoring matrix'!K7</f>
        <v>0</v>
      </c>
      <c r="AA22">
        <f>K5*'scoring matrix'!L7</f>
        <v>0</v>
      </c>
      <c r="AB22">
        <f>L5*'scoring matrix'!M7</f>
        <v>0</v>
      </c>
      <c r="AC22">
        <f>M5*'scoring matrix'!N7</f>
        <v>0</v>
      </c>
    </row>
    <row r="23" spans="1:31" ht="23.25" customHeight="1" x14ac:dyDescent="0.25">
      <c r="A23" s="3" t="s">
        <v>4</v>
      </c>
      <c r="B23" s="7">
        <f t="shared" si="3"/>
        <v>3.5109893968120212E-2</v>
      </c>
      <c r="C23" s="7">
        <f t="shared" si="3"/>
        <v>0</v>
      </c>
      <c r="D23" s="7">
        <f t="shared" si="3"/>
        <v>0.19248188405797104</v>
      </c>
      <c r="E23" s="7">
        <f t="shared" si="3"/>
        <v>2.6123301985370953E-2</v>
      </c>
      <c r="F23" s="7">
        <f t="shared" si="3"/>
        <v>5.5555555555555554</v>
      </c>
      <c r="G23" s="7">
        <f t="shared" si="3"/>
        <v>0.10305736860185502</v>
      </c>
      <c r="H23" s="7">
        <f t="shared" si="3"/>
        <v>0</v>
      </c>
      <c r="I23" s="7">
        <f t="shared" si="3"/>
        <v>3.0609121518212427E-2</v>
      </c>
      <c r="J23" s="7">
        <f t="shared" si="3"/>
        <v>18.530351437699679</v>
      </c>
      <c r="K23" s="7">
        <f t="shared" si="3"/>
        <v>0</v>
      </c>
      <c r="L23" s="7">
        <f t="shared" si="3"/>
        <v>0</v>
      </c>
      <c r="M23" s="7">
        <f t="shared" si="3"/>
        <v>0</v>
      </c>
      <c r="R23">
        <f>B6*'scoring matrix'!C8</f>
        <v>18.75</v>
      </c>
      <c r="S23">
        <f>C6*'scoring matrix'!D8</f>
        <v>0</v>
      </c>
      <c r="T23">
        <f>D6*'scoring matrix'!E8</f>
        <v>535.5</v>
      </c>
      <c r="U23">
        <f>E6*'scoring matrix'!F8</f>
        <v>2.5</v>
      </c>
      <c r="V23">
        <f>F6*'scoring matrix'!G8</f>
        <v>0</v>
      </c>
      <c r="W23">
        <f>G6*'scoring matrix'!H8</f>
        <v>23.625</v>
      </c>
      <c r="X23">
        <f>H6*'scoring matrix'!I8</f>
        <v>0</v>
      </c>
      <c r="Y23">
        <f>I6*'scoring matrix'!J8</f>
        <v>7.5</v>
      </c>
      <c r="Z23">
        <f>J6*'scoring matrix'!K8</f>
        <v>377</v>
      </c>
      <c r="AA23">
        <f>K6*'scoring matrix'!L8</f>
        <v>0</v>
      </c>
      <c r="AB23">
        <f>L6*'scoring matrix'!M8</f>
        <v>0</v>
      </c>
      <c r="AC23">
        <f>M6*'scoring matrix'!N8</f>
        <v>0</v>
      </c>
    </row>
    <row r="24" spans="1:31" ht="23.25" customHeight="1" x14ac:dyDescent="0.25">
      <c r="A24" s="3" t="s">
        <v>5</v>
      </c>
      <c r="B24" s="7">
        <f t="shared" si="3"/>
        <v>4.0797696790955689</v>
      </c>
      <c r="C24" s="7">
        <f t="shared" si="3"/>
        <v>1.9158291457286432</v>
      </c>
      <c r="D24" s="7">
        <f t="shared" si="3"/>
        <v>1.3662439613526569</v>
      </c>
      <c r="E24" s="7">
        <f t="shared" si="3"/>
        <v>26.227795193312435</v>
      </c>
      <c r="F24" s="7">
        <f t="shared" si="3"/>
        <v>11.111111111111111</v>
      </c>
      <c r="G24" s="7">
        <f t="shared" si="3"/>
        <v>60.861101568762166</v>
      </c>
      <c r="H24" s="7">
        <f t="shared" si="3"/>
        <v>15.644654088050313</v>
      </c>
      <c r="I24" s="7">
        <f t="shared" si="3"/>
        <v>0</v>
      </c>
      <c r="J24" s="7">
        <f t="shared" si="3"/>
        <v>4.4728434504792327</v>
      </c>
      <c r="K24" s="7">
        <f t="shared" si="3"/>
        <v>3.3183856502242155</v>
      </c>
      <c r="L24" s="7">
        <f t="shared" si="3"/>
        <v>0</v>
      </c>
      <c r="M24" s="7">
        <f t="shared" si="3"/>
        <v>0</v>
      </c>
      <c r="P24" s="2"/>
      <c r="R24">
        <f>B7*'scoring matrix'!C9</f>
        <v>2033.5</v>
      </c>
      <c r="S24">
        <f>C7*'scoring matrix'!D9</f>
        <v>457.5</v>
      </c>
      <c r="T24">
        <f>D7*'scoring matrix'!E9</f>
        <v>3801</v>
      </c>
      <c r="U24">
        <f>E7*'scoring matrix'!F9</f>
        <v>2008</v>
      </c>
      <c r="V24">
        <f>F7*'scoring matrix'!G9</f>
        <v>5.25</v>
      </c>
      <c r="W24">
        <f>G7*'scoring matrix'!H9</f>
        <v>0</v>
      </c>
      <c r="X24">
        <f>H7*'scoring matrix'!I9</f>
        <v>273.625</v>
      </c>
      <c r="Y24">
        <f>I7*'scoring matrix'!J9</f>
        <v>0</v>
      </c>
      <c r="Z24">
        <f>J7*'scoring matrix'!K9</f>
        <v>105</v>
      </c>
      <c r="AA24">
        <f>K7*'scoring matrix'!L9</f>
        <v>129.5</v>
      </c>
      <c r="AB24">
        <f>L7*'scoring matrix'!M9</f>
        <v>0</v>
      </c>
      <c r="AC24">
        <f>M7*'scoring matrix'!N9</f>
        <v>0</v>
      </c>
    </row>
    <row r="25" spans="1:31" ht="23.25" customHeight="1" x14ac:dyDescent="0.25">
      <c r="A25" s="3" t="s">
        <v>6</v>
      </c>
      <c r="B25" s="7">
        <f t="shared" si="3"/>
        <v>0.54069236710905133</v>
      </c>
      <c r="C25" s="7">
        <f t="shared" si="3"/>
        <v>0</v>
      </c>
      <c r="D25" s="7">
        <f t="shared" si="3"/>
        <v>1.2580515297906602E-3</v>
      </c>
      <c r="E25" s="7">
        <f t="shared" si="3"/>
        <v>0.15673981191222569</v>
      </c>
      <c r="F25" s="7">
        <f t="shared" si="3"/>
        <v>0</v>
      </c>
      <c r="G25" s="7">
        <f t="shared" si="3"/>
        <v>21.103858925913201</v>
      </c>
      <c r="H25" s="7">
        <f t="shared" si="3"/>
        <v>76.886792452830193</v>
      </c>
      <c r="I25" s="7">
        <f t="shared" si="3"/>
        <v>0</v>
      </c>
      <c r="J25" s="7">
        <f t="shared" si="3"/>
        <v>0</v>
      </c>
      <c r="K25" s="7">
        <f t="shared" si="3"/>
        <v>0</v>
      </c>
      <c r="L25" s="7">
        <f t="shared" si="3"/>
        <v>0</v>
      </c>
      <c r="M25" s="7">
        <f t="shared" si="3"/>
        <v>0</v>
      </c>
      <c r="R25">
        <f>B8*'scoring matrix'!C10</f>
        <v>269.5</v>
      </c>
      <c r="S25">
        <f>C8*'scoring matrix'!D10</f>
        <v>0</v>
      </c>
      <c r="T25">
        <f>D8*'scoring matrix'!E10</f>
        <v>3.75</v>
      </c>
      <c r="U25">
        <f>E8*'scoring matrix'!F10</f>
        <v>13.5</v>
      </c>
      <c r="V25">
        <f>F8*'scoring matrix'!G10</f>
        <v>0</v>
      </c>
      <c r="W25">
        <f>G8*'scoring matrix'!H10</f>
        <v>2534.125</v>
      </c>
      <c r="X25">
        <f>H8*'scoring matrix'!I10</f>
        <v>0</v>
      </c>
      <c r="Y25">
        <f>I8*'scoring matrix'!J10</f>
        <v>0</v>
      </c>
      <c r="Z25">
        <f>J8*'scoring matrix'!K10</f>
        <v>0</v>
      </c>
      <c r="AA25">
        <f>K8*'scoring matrix'!L10</f>
        <v>0</v>
      </c>
      <c r="AB25">
        <f>L8*'scoring matrix'!M10</f>
        <v>0</v>
      </c>
      <c r="AC25">
        <f>M8*'scoring matrix'!N10</f>
        <v>0</v>
      </c>
      <c r="AE25">
        <f>SUM(R19:AC30)</f>
        <v>57499.625</v>
      </c>
    </row>
    <row r="26" spans="1:31" ht="23.25" customHeight="1" x14ac:dyDescent="0.25">
      <c r="A26" s="3" t="s">
        <v>7</v>
      </c>
      <c r="B26" s="7">
        <f t="shared" si="3"/>
        <v>0</v>
      </c>
      <c r="C26" s="7">
        <f t="shared" si="3"/>
        <v>0</v>
      </c>
      <c r="D26" s="7">
        <f t="shared" si="3"/>
        <v>2.6419082125603864E-2</v>
      </c>
      <c r="E26" s="7">
        <f t="shared" si="3"/>
        <v>0</v>
      </c>
      <c r="F26" s="7">
        <f t="shared" si="3"/>
        <v>27.777777777777779</v>
      </c>
      <c r="G26" s="7">
        <f t="shared" si="3"/>
        <v>8.0155731134776129E-2</v>
      </c>
      <c r="H26" s="7">
        <f t="shared" si="3"/>
        <v>0</v>
      </c>
      <c r="I26" s="7">
        <f t="shared" si="3"/>
        <v>98.852157943067027</v>
      </c>
      <c r="J26" s="7">
        <f t="shared" si="3"/>
        <v>0.95846645367412142</v>
      </c>
      <c r="K26" s="7">
        <f t="shared" si="3"/>
        <v>0</v>
      </c>
      <c r="L26" s="7">
        <f t="shared" si="3"/>
        <v>0</v>
      </c>
      <c r="M26" s="7">
        <f t="shared" si="3"/>
        <v>0</v>
      </c>
      <c r="R26">
        <f>B9*'scoring matrix'!C11</f>
        <v>0</v>
      </c>
      <c r="S26">
        <f>C9*'scoring matrix'!D11</f>
        <v>0</v>
      </c>
      <c r="T26">
        <f>D9*'scoring matrix'!E11</f>
        <v>84</v>
      </c>
      <c r="U26">
        <f>E9*'scoring matrix'!F11</f>
        <v>0</v>
      </c>
      <c r="V26">
        <f>F9*'scoring matrix'!G11</f>
        <v>18.75</v>
      </c>
      <c r="W26">
        <f>G9*'scoring matrix'!H11</f>
        <v>28</v>
      </c>
      <c r="X26">
        <f>H9*'scoring matrix'!I11</f>
        <v>0</v>
      </c>
      <c r="Y26">
        <f>I9*'scoring matrix'!J11</f>
        <v>0</v>
      </c>
      <c r="Z26">
        <f>J9*'scoring matrix'!K11</f>
        <v>16.5</v>
      </c>
      <c r="AA26">
        <f>K9*'scoring matrix'!L11</f>
        <v>0</v>
      </c>
      <c r="AB26">
        <f>L9*'scoring matrix'!M11</f>
        <v>0</v>
      </c>
      <c r="AC26">
        <f>M9*'scoring matrix'!N11</f>
        <v>0</v>
      </c>
    </row>
    <row r="27" spans="1:31" ht="23.25" customHeight="1" x14ac:dyDescent="0.25">
      <c r="A27" s="3" t="s">
        <v>12</v>
      </c>
      <c r="B27" s="7">
        <f t="shared" si="3"/>
        <v>0.12639561828523277</v>
      </c>
      <c r="C27" s="7">
        <f t="shared" si="3"/>
        <v>0</v>
      </c>
      <c r="D27" s="7">
        <f t="shared" si="3"/>
        <v>8.8063607085346208E-3</v>
      </c>
      <c r="E27" s="7">
        <f t="shared" si="3"/>
        <v>0</v>
      </c>
      <c r="F27" s="7">
        <f t="shared" si="3"/>
        <v>55.555555555555557</v>
      </c>
      <c r="G27" s="7">
        <f t="shared" si="3"/>
        <v>0.41222947440742008</v>
      </c>
      <c r="H27" s="7">
        <f t="shared" si="3"/>
        <v>0</v>
      </c>
      <c r="I27" s="7">
        <f t="shared" si="3"/>
        <v>0.90296908478726656</v>
      </c>
      <c r="J27" s="7">
        <f t="shared" si="3"/>
        <v>74.600638977635782</v>
      </c>
      <c r="K27" s="7">
        <f t="shared" si="3"/>
        <v>0</v>
      </c>
      <c r="L27" s="7">
        <f t="shared" si="3"/>
        <v>0</v>
      </c>
      <c r="M27" s="7">
        <f t="shared" si="3"/>
        <v>0</v>
      </c>
      <c r="R27">
        <f>B10*'scoring matrix'!C12</f>
        <v>72</v>
      </c>
      <c r="S27">
        <f>C10*'scoring matrix'!D12</f>
        <v>0</v>
      </c>
      <c r="T27">
        <f>D10*'scoring matrix'!E12</f>
        <v>28</v>
      </c>
      <c r="U27">
        <f>E10*'scoring matrix'!F12</f>
        <v>0</v>
      </c>
      <c r="V27">
        <f>F10*'scoring matrix'!G12</f>
        <v>32.5</v>
      </c>
      <c r="W27">
        <f>G10*'scoring matrix'!H12</f>
        <v>135</v>
      </c>
      <c r="X27">
        <f>H10*'scoring matrix'!I12</f>
        <v>0</v>
      </c>
      <c r="Y27">
        <f>I10*'scoring matrix'!J12</f>
        <v>162.25</v>
      </c>
      <c r="Z27">
        <f>J10*'scoring matrix'!K12</f>
        <v>0</v>
      </c>
      <c r="AA27">
        <f>K10*'scoring matrix'!L12</f>
        <v>0</v>
      </c>
      <c r="AB27">
        <f>L10*'scoring matrix'!M12</f>
        <v>0</v>
      </c>
      <c r="AC27">
        <f>M10*'scoring matrix'!N12</f>
        <v>0</v>
      </c>
    </row>
    <row r="28" spans="1:31" ht="23.25" customHeight="1" x14ac:dyDescent="0.25">
      <c r="A28" s="3" t="s">
        <v>8</v>
      </c>
      <c r="B28" s="7">
        <f t="shared" si="3"/>
        <v>7.021978793624044E-3</v>
      </c>
      <c r="C28" s="7">
        <f t="shared" si="3"/>
        <v>0</v>
      </c>
      <c r="D28" s="7">
        <f t="shared" si="3"/>
        <v>0.27677133655394526</v>
      </c>
      <c r="E28" s="7">
        <f t="shared" si="3"/>
        <v>0</v>
      </c>
      <c r="F28" s="7">
        <f t="shared" si="3"/>
        <v>0</v>
      </c>
      <c r="G28" s="7">
        <f t="shared" si="3"/>
        <v>0.10305736860185502</v>
      </c>
      <c r="H28" s="7">
        <f t="shared" si="3"/>
        <v>0</v>
      </c>
      <c r="I28" s="7">
        <f t="shared" si="3"/>
        <v>0</v>
      </c>
      <c r="J28" s="7">
        <f t="shared" si="3"/>
        <v>0</v>
      </c>
      <c r="K28" s="7">
        <f t="shared" si="3"/>
        <v>63.766816143497763</v>
      </c>
      <c r="L28" s="7">
        <f t="shared" si="3"/>
        <v>0</v>
      </c>
      <c r="M28" s="7">
        <f t="shared" si="3"/>
        <v>0</v>
      </c>
      <c r="R28">
        <f>B11*'scoring matrix'!C13</f>
        <v>2.5</v>
      </c>
      <c r="S28">
        <f>C11*'scoring matrix'!D13</f>
        <v>0</v>
      </c>
      <c r="T28">
        <f>D11*'scoring matrix'!E13</f>
        <v>605</v>
      </c>
      <c r="U28">
        <f>E11*'scoring matrix'!F13</f>
        <v>0</v>
      </c>
      <c r="V28">
        <f>F11*'scoring matrix'!G13</f>
        <v>0</v>
      </c>
      <c r="W28">
        <f>G11*'scoring matrix'!H13</f>
        <v>31.5</v>
      </c>
      <c r="X28">
        <f>H11*'scoring matrix'!I13</f>
        <v>0</v>
      </c>
      <c r="Y28">
        <f>I11*'scoring matrix'!J13</f>
        <v>0</v>
      </c>
      <c r="Z28">
        <f>J11*'scoring matrix'!K13</f>
        <v>0</v>
      </c>
      <c r="AA28">
        <f>K11*'scoring matrix'!L13</f>
        <v>0</v>
      </c>
      <c r="AB28">
        <f>L11*'scoring matrix'!M13</f>
        <v>0</v>
      </c>
      <c r="AC28">
        <f>M11*'scoring matrix'!N13</f>
        <v>0</v>
      </c>
    </row>
    <row r="29" spans="1:31" ht="23.25" customHeight="1" x14ac:dyDescent="0.25">
      <c r="A29" s="3" t="s">
        <v>9</v>
      </c>
      <c r="B29" s="7">
        <f t="shared" si="3"/>
        <v>0.21768134260234537</v>
      </c>
      <c r="C29" s="7">
        <f t="shared" si="3"/>
        <v>0.29836683417085424</v>
      </c>
      <c r="D29" s="7">
        <f t="shared" si="3"/>
        <v>6.5418679549114331E-2</v>
      </c>
      <c r="E29" s="7">
        <f t="shared" si="3"/>
        <v>0</v>
      </c>
      <c r="F29" s="7">
        <f t="shared" si="3"/>
        <v>0</v>
      </c>
      <c r="G29" s="7">
        <f t="shared" si="3"/>
        <v>2.2901637467078895E-2</v>
      </c>
      <c r="H29" s="7">
        <f t="shared" si="3"/>
        <v>0</v>
      </c>
      <c r="I29" s="7">
        <f t="shared" si="3"/>
        <v>0</v>
      </c>
      <c r="J29" s="7">
        <f t="shared" si="3"/>
        <v>0</v>
      </c>
      <c r="K29" s="7">
        <f t="shared" si="3"/>
        <v>0</v>
      </c>
      <c r="L29" s="7">
        <f t="shared" si="3"/>
        <v>80.459770114942529</v>
      </c>
      <c r="M29" s="7">
        <f t="shared" si="3"/>
        <v>0</v>
      </c>
      <c r="R29">
        <f>B12*'scoring matrix'!C14</f>
        <v>120.125</v>
      </c>
      <c r="S29">
        <f>C12*'scoring matrix'!D14</f>
        <v>71.25</v>
      </c>
      <c r="T29">
        <f>D12*'scoring matrix'!E14</f>
        <v>169</v>
      </c>
      <c r="U29">
        <f>E12*'scoring matrix'!F14</f>
        <v>0</v>
      </c>
      <c r="V29">
        <f>F12*'scoring matrix'!G14</f>
        <v>0</v>
      </c>
      <c r="W29">
        <f>G12*'scoring matrix'!H14</f>
        <v>8</v>
      </c>
      <c r="X29">
        <f>H12*'scoring matrix'!I14</f>
        <v>0</v>
      </c>
      <c r="Y29">
        <f>I12*'scoring matrix'!J14</f>
        <v>0</v>
      </c>
      <c r="Z29">
        <f>J12*'scoring matrix'!K14</f>
        <v>0</v>
      </c>
      <c r="AA29">
        <f>K12*'scoring matrix'!L14</f>
        <v>0</v>
      </c>
      <c r="AB29">
        <f>L12*'scoring matrix'!M14</f>
        <v>0</v>
      </c>
      <c r="AC29">
        <f>M12*'scoring matrix'!N14</f>
        <v>0</v>
      </c>
    </row>
    <row r="30" spans="1:31" ht="23.25" customHeight="1" x14ac:dyDescent="0.25">
      <c r="A30" s="3" t="s">
        <v>10</v>
      </c>
      <c r="B30" s="7">
        <f t="shared" si="3"/>
        <v>0</v>
      </c>
      <c r="C30" s="7">
        <f t="shared" si="3"/>
        <v>0</v>
      </c>
      <c r="D30" s="7">
        <f t="shared" si="3"/>
        <v>0</v>
      </c>
      <c r="E30" s="7">
        <f t="shared" si="3"/>
        <v>0</v>
      </c>
      <c r="F30" s="7">
        <f t="shared" si="3"/>
        <v>0</v>
      </c>
      <c r="G30" s="7">
        <f t="shared" si="3"/>
        <v>0</v>
      </c>
      <c r="H30" s="7">
        <f t="shared" si="3"/>
        <v>0</v>
      </c>
      <c r="I30" s="7">
        <f t="shared" si="3"/>
        <v>0</v>
      </c>
      <c r="J30" s="7">
        <f t="shared" si="3"/>
        <v>0</v>
      </c>
      <c r="K30" s="7">
        <f t="shared" si="3"/>
        <v>0</v>
      </c>
      <c r="L30" s="7">
        <f t="shared" si="3"/>
        <v>0</v>
      </c>
      <c r="M30" s="7">
        <f t="shared" si="3"/>
        <v>0</v>
      </c>
      <c r="R30">
        <f>B13*'scoring matrix'!C15</f>
        <v>0</v>
      </c>
      <c r="S30">
        <f>C13*'scoring matrix'!D15</f>
        <v>0</v>
      </c>
      <c r="T30">
        <f>D13*'scoring matrix'!E15</f>
        <v>0</v>
      </c>
      <c r="U30">
        <f>E13*'scoring matrix'!F15</f>
        <v>0</v>
      </c>
      <c r="V30">
        <f>F13*'scoring matrix'!G15</f>
        <v>0</v>
      </c>
      <c r="W30">
        <f>G13*'scoring matrix'!H15</f>
        <v>0</v>
      </c>
      <c r="X30">
        <f>H13*'scoring matrix'!I15</f>
        <v>0</v>
      </c>
      <c r="Y30">
        <f>I13*'scoring matrix'!J15</f>
        <v>0</v>
      </c>
      <c r="Z30">
        <f>J13*'scoring matrix'!K15</f>
        <v>0</v>
      </c>
      <c r="AA30">
        <f>K13*'scoring matrix'!L15</f>
        <v>0</v>
      </c>
      <c r="AB30">
        <f>L13*'scoring matrix'!M15</f>
        <v>0</v>
      </c>
      <c r="AC30">
        <f>M13*'scoring matrix'!N15</f>
        <v>0</v>
      </c>
    </row>
    <row r="31" spans="1:3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</row>
  </sheetData>
  <conditionalFormatting sqref="C17:N18 N19:N30">
    <cfRule type="colorScale" priority="9">
      <colorScale>
        <cfvo type="num" val="0"/>
        <cfvo type="num" val="1"/>
        <color rgb="FFFF7128"/>
        <color theme="9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M30">
    <cfRule type="colorScale" priority="7">
      <colorScale>
        <cfvo type="num" val="0"/>
        <cfvo type="num" val="100"/>
        <color rgb="FFFFFBE7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0">
    <cfRule type="colorScale" priority="5">
      <colorScale>
        <cfvo type="num" val="0"/>
        <cfvo type="num" val="1"/>
        <color rgb="FFFF7128"/>
        <color theme="9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13">
    <cfRule type="colorScale" priority="3">
      <colorScale>
        <cfvo type="num" val="0"/>
        <cfvo type="num" val="12238"/>
        <color rgb="FFFFFBE7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AC13">
    <cfRule type="colorScale" priority="1">
      <colorScale>
        <cfvo type="num" val="0"/>
        <cfvo type="num" val="100"/>
        <color rgb="FFFFFBE7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3A47-61AB-42C4-AB36-9554728EBC06}">
  <dimension ref="B2:N15"/>
  <sheetViews>
    <sheetView workbookViewId="0">
      <selection activeCell="S11" sqref="S11"/>
    </sheetView>
  </sheetViews>
  <sheetFormatPr defaultRowHeight="15" x14ac:dyDescent="0.25"/>
  <cols>
    <col min="2" max="14" width="12.7109375" customWidth="1"/>
  </cols>
  <sheetData>
    <row r="2" spans="2:14" ht="15.75" thickBot="1" x14ac:dyDescent="0.3"/>
    <row r="3" spans="2:14" ht="36" customHeight="1" thickBot="1" x14ac:dyDescent="0.3">
      <c r="B3" s="10" t="s">
        <v>32</v>
      </c>
      <c r="C3" s="11" t="s">
        <v>1</v>
      </c>
      <c r="D3" s="11" t="s">
        <v>33</v>
      </c>
      <c r="E3" s="11" t="s">
        <v>3</v>
      </c>
      <c r="F3" s="11" t="s">
        <v>11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12</v>
      </c>
      <c r="L3" s="11" t="s">
        <v>8</v>
      </c>
      <c r="M3" s="11" t="s">
        <v>34</v>
      </c>
      <c r="N3" s="11" t="s">
        <v>35</v>
      </c>
    </row>
    <row r="4" spans="2:14" ht="36" customHeight="1" thickBot="1" x14ac:dyDescent="0.3">
      <c r="B4" s="12" t="s">
        <v>1</v>
      </c>
      <c r="C4" s="13">
        <v>0</v>
      </c>
      <c r="D4" s="14">
        <v>2</v>
      </c>
      <c r="E4" s="15">
        <v>3.5</v>
      </c>
      <c r="F4" s="16">
        <v>3</v>
      </c>
      <c r="G4" s="17">
        <v>3.75</v>
      </c>
      <c r="H4" s="15">
        <v>3.5</v>
      </c>
      <c r="I4" s="15">
        <v>3.5</v>
      </c>
      <c r="J4" s="13">
        <v>4</v>
      </c>
      <c r="K4" s="13">
        <v>4</v>
      </c>
      <c r="L4" s="18">
        <v>2.5</v>
      </c>
      <c r="M4" s="19">
        <v>3.875</v>
      </c>
      <c r="N4" s="20">
        <v>3.25</v>
      </c>
    </row>
    <row r="5" spans="2:14" ht="36" customHeight="1" thickBot="1" x14ac:dyDescent="0.3">
      <c r="B5" s="12" t="s">
        <v>33</v>
      </c>
      <c r="C5" s="14">
        <v>2</v>
      </c>
      <c r="D5" s="21">
        <v>0</v>
      </c>
      <c r="E5" s="22">
        <v>2.375</v>
      </c>
      <c r="F5" s="23">
        <v>2.75</v>
      </c>
      <c r="G5" s="13">
        <v>4</v>
      </c>
      <c r="H5" s="17">
        <v>3.75</v>
      </c>
      <c r="I5" s="17">
        <v>3.75</v>
      </c>
      <c r="J5" s="19">
        <v>3.875</v>
      </c>
      <c r="K5" s="13">
        <v>4</v>
      </c>
      <c r="L5" s="16">
        <v>3</v>
      </c>
      <c r="M5" s="17">
        <v>3.75</v>
      </c>
      <c r="N5" s="16">
        <v>3</v>
      </c>
    </row>
    <row r="6" spans="2:14" ht="36" customHeight="1" thickBot="1" x14ac:dyDescent="0.3">
      <c r="B6" s="12" t="s">
        <v>3</v>
      </c>
      <c r="C6" s="15">
        <v>3.5</v>
      </c>
      <c r="D6" s="22">
        <v>2.375</v>
      </c>
      <c r="E6" s="21">
        <v>0</v>
      </c>
      <c r="F6" s="14">
        <v>2</v>
      </c>
      <c r="G6" s="15">
        <v>3.5</v>
      </c>
      <c r="H6" s="15">
        <v>3.5</v>
      </c>
      <c r="I6" s="17">
        <v>3.75</v>
      </c>
      <c r="J6" s="13">
        <v>4</v>
      </c>
      <c r="K6" s="13">
        <v>4</v>
      </c>
      <c r="L6" s="23">
        <v>2.75</v>
      </c>
      <c r="M6" s="20">
        <v>3.25</v>
      </c>
      <c r="N6" s="16">
        <v>3</v>
      </c>
    </row>
    <row r="7" spans="2:14" ht="36" customHeight="1" thickBot="1" x14ac:dyDescent="0.3">
      <c r="B7" s="12" t="s">
        <v>11</v>
      </c>
      <c r="C7" s="16">
        <v>3</v>
      </c>
      <c r="D7" s="23">
        <v>2.75</v>
      </c>
      <c r="E7" s="14">
        <v>2</v>
      </c>
      <c r="F7" s="21">
        <v>0</v>
      </c>
      <c r="G7" s="18">
        <v>2.5</v>
      </c>
      <c r="H7" s="14">
        <v>2</v>
      </c>
      <c r="I7" s="24">
        <v>2.25</v>
      </c>
      <c r="J7" s="13">
        <v>4</v>
      </c>
      <c r="K7" s="13">
        <v>4</v>
      </c>
      <c r="L7" s="25">
        <v>3.375</v>
      </c>
      <c r="M7" s="17">
        <v>3.75</v>
      </c>
      <c r="N7" s="20">
        <v>3.25</v>
      </c>
    </row>
    <row r="8" spans="2:14" ht="36" customHeight="1" thickBot="1" x14ac:dyDescent="0.3">
      <c r="B8" s="12" t="s">
        <v>4</v>
      </c>
      <c r="C8" s="17">
        <v>3.75</v>
      </c>
      <c r="D8" s="13">
        <v>4</v>
      </c>
      <c r="E8" s="15">
        <v>3.5</v>
      </c>
      <c r="F8" s="18">
        <v>2.5</v>
      </c>
      <c r="G8" s="21">
        <v>0</v>
      </c>
      <c r="H8" s="26">
        <v>2.625</v>
      </c>
      <c r="I8" s="27">
        <v>2.875</v>
      </c>
      <c r="J8" s="17">
        <v>3.75</v>
      </c>
      <c r="K8" s="20">
        <v>3.25</v>
      </c>
      <c r="L8" s="16">
        <v>3</v>
      </c>
      <c r="M8" s="13">
        <v>4</v>
      </c>
      <c r="N8" s="28">
        <v>3.625</v>
      </c>
    </row>
    <row r="9" spans="2:14" ht="36" customHeight="1" thickBot="1" x14ac:dyDescent="0.3">
      <c r="B9" s="12" t="s">
        <v>5</v>
      </c>
      <c r="C9" s="15">
        <v>3.5</v>
      </c>
      <c r="D9" s="17">
        <v>3.75</v>
      </c>
      <c r="E9" s="15">
        <v>3.5</v>
      </c>
      <c r="F9" s="14">
        <v>2</v>
      </c>
      <c r="G9" s="26">
        <v>2.625</v>
      </c>
      <c r="H9" s="21">
        <v>0</v>
      </c>
      <c r="I9" s="29">
        <v>1.375</v>
      </c>
      <c r="J9" s="13">
        <v>4</v>
      </c>
      <c r="K9" s="17">
        <v>3.75</v>
      </c>
      <c r="L9" s="15">
        <v>3.5</v>
      </c>
      <c r="M9" s="13">
        <v>4</v>
      </c>
      <c r="N9" s="28">
        <v>3.625</v>
      </c>
    </row>
    <row r="10" spans="2:14" ht="36" customHeight="1" thickBot="1" x14ac:dyDescent="0.3">
      <c r="B10" s="12" t="s">
        <v>6</v>
      </c>
      <c r="C10" s="15">
        <v>3.5</v>
      </c>
      <c r="D10" s="17">
        <v>3.75</v>
      </c>
      <c r="E10" s="17">
        <v>3.75</v>
      </c>
      <c r="F10" s="24">
        <v>2.25</v>
      </c>
      <c r="G10" s="27">
        <v>2.875</v>
      </c>
      <c r="H10" s="29">
        <v>1.375</v>
      </c>
      <c r="I10" s="21">
        <v>0</v>
      </c>
      <c r="J10" s="13">
        <v>4</v>
      </c>
      <c r="K10" s="17">
        <v>3.75</v>
      </c>
      <c r="L10" s="30">
        <v>3.125</v>
      </c>
      <c r="M10" s="13">
        <v>4</v>
      </c>
      <c r="N10" s="17">
        <v>3.75</v>
      </c>
    </row>
    <row r="11" spans="2:14" ht="36" customHeight="1" thickBot="1" x14ac:dyDescent="0.3">
      <c r="B11" s="12" t="s">
        <v>7</v>
      </c>
      <c r="C11" s="13">
        <v>4</v>
      </c>
      <c r="D11" s="19">
        <v>3.875</v>
      </c>
      <c r="E11" s="13">
        <v>4</v>
      </c>
      <c r="F11" s="13">
        <v>4</v>
      </c>
      <c r="G11" s="17">
        <v>3.75</v>
      </c>
      <c r="H11" s="13">
        <v>4</v>
      </c>
      <c r="I11" s="13">
        <v>4</v>
      </c>
      <c r="J11" s="21">
        <v>0</v>
      </c>
      <c r="K11" s="23">
        <v>2.75</v>
      </c>
      <c r="L11" s="17">
        <v>3.75</v>
      </c>
      <c r="M11" s="17">
        <v>3.75</v>
      </c>
      <c r="N11" s="13">
        <v>4</v>
      </c>
    </row>
    <row r="12" spans="2:14" ht="36" customHeight="1" thickBot="1" x14ac:dyDescent="0.3">
      <c r="B12" s="12" t="s">
        <v>12</v>
      </c>
      <c r="C12" s="13">
        <v>4</v>
      </c>
      <c r="D12" s="13">
        <v>4</v>
      </c>
      <c r="E12" s="13">
        <v>4</v>
      </c>
      <c r="F12" s="13">
        <v>4</v>
      </c>
      <c r="G12" s="20">
        <v>3.25</v>
      </c>
      <c r="H12" s="17">
        <v>3.75</v>
      </c>
      <c r="I12" s="17">
        <v>3.75</v>
      </c>
      <c r="J12" s="23">
        <v>2.75</v>
      </c>
      <c r="K12" s="21">
        <v>0</v>
      </c>
      <c r="L12" s="13">
        <v>4</v>
      </c>
      <c r="M12" s="13">
        <v>4</v>
      </c>
      <c r="N12" s="19">
        <v>3.875</v>
      </c>
    </row>
    <row r="13" spans="2:14" ht="36" customHeight="1" thickBot="1" x14ac:dyDescent="0.3">
      <c r="B13" s="12" t="s">
        <v>8</v>
      </c>
      <c r="C13" s="18">
        <v>2.5</v>
      </c>
      <c r="D13" s="16">
        <v>3</v>
      </c>
      <c r="E13" s="23">
        <v>2.75</v>
      </c>
      <c r="F13" s="25">
        <v>3.375</v>
      </c>
      <c r="G13" s="16">
        <v>3</v>
      </c>
      <c r="H13" s="15">
        <v>3.5</v>
      </c>
      <c r="I13" s="30">
        <v>3.125</v>
      </c>
      <c r="J13" s="17">
        <v>3.75</v>
      </c>
      <c r="K13" s="13">
        <v>4</v>
      </c>
      <c r="L13" s="21">
        <v>0</v>
      </c>
      <c r="M13" s="18">
        <v>2.5</v>
      </c>
      <c r="N13" s="20">
        <v>3.25</v>
      </c>
    </row>
    <row r="14" spans="2:14" ht="36" customHeight="1" thickBot="1" x14ac:dyDescent="0.3">
      <c r="B14" s="12" t="s">
        <v>34</v>
      </c>
      <c r="C14" s="19">
        <v>3.875</v>
      </c>
      <c r="D14" s="17">
        <v>3.75</v>
      </c>
      <c r="E14" s="20">
        <v>3.25</v>
      </c>
      <c r="F14" s="17">
        <v>3.75</v>
      </c>
      <c r="G14" s="13">
        <v>4</v>
      </c>
      <c r="H14" s="13">
        <v>4</v>
      </c>
      <c r="I14" s="13">
        <v>4</v>
      </c>
      <c r="J14" s="17">
        <v>3.75</v>
      </c>
      <c r="K14" s="13">
        <v>4</v>
      </c>
      <c r="L14" s="18">
        <v>2.5</v>
      </c>
      <c r="M14" s="21">
        <v>0</v>
      </c>
      <c r="N14" s="13">
        <v>4</v>
      </c>
    </row>
    <row r="15" spans="2:14" ht="36" customHeight="1" thickBot="1" x14ac:dyDescent="0.3">
      <c r="B15" s="12" t="s">
        <v>35</v>
      </c>
      <c r="C15" s="20">
        <v>3.25</v>
      </c>
      <c r="D15" s="16">
        <v>3</v>
      </c>
      <c r="E15" s="16">
        <v>3</v>
      </c>
      <c r="F15" s="20">
        <v>3.25</v>
      </c>
      <c r="G15" s="28">
        <v>3.625</v>
      </c>
      <c r="H15" s="28">
        <v>3.625</v>
      </c>
      <c r="I15" s="17">
        <v>3.75</v>
      </c>
      <c r="J15" s="13">
        <v>4</v>
      </c>
      <c r="K15" s="19">
        <v>3.875</v>
      </c>
      <c r="L15" s="20">
        <v>3.25</v>
      </c>
      <c r="M15" s="13">
        <v>4</v>
      </c>
      <c r="N15" s="21">
        <v>0</v>
      </c>
    </row>
  </sheetData>
  <conditionalFormatting sqref="C4:N15">
    <cfRule type="colorScale" priority="1">
      <colorScale>
        <cfvo type="num" val="0"/>
        <cfvo type="num" val="8"/>
        <color theme="9"/>
        <color theme="5"/>
      </colorScale>
    </cfRule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Olawale_conf ALL wells</vt:lpstr>
      <vt:lpstr>Comparison</vt:lpstr>
      <vt:lpstr>DavidP_conf</vt:lpstr>
      <vt:lpstr>CampbellH_conf</vt:lpstr>
      <vt:lpstr>BohdanP_conf</vt:lpstr>
      <vt:lpstr>Bermudez_conf</vt:lpstr>
      <vt:lpstr>ISPL_conf</vt:lpstr>
      <vt:lpstr>H3G_conf</vt:lpstr>
      <vt:lpstr>ICA_conf</vt:lpstr>
      <vt:lpstr>GIR_conf </vt:lpstr>
      <vt:lpstr>Olawale_conf</vt:lpstr>
      <vt:lpstr>scoring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Bormann, Peter</dc:creator>
  <cp:lastModifiedBy>Bormann, Peter</cp:lastModifiedBy>
  <dcterms:modified xsi:type="dcterms:W3CDTF">2020-11-18T09:22:42Z</dcterms:modified>
</cp:coreProperties>
</file>